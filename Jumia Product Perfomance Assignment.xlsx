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6eb7a2861ec47171/"/>
    </mc:Choice>
  </mc:AlternateContent>
  <xr:revisionPtr revIDLastSave="31" documentId="8_{E950DFD9-0D28-44C8-9B29-36602E3B022C}" xr6:coauthVersionLast="47" xr6:coauthVersionMax="47" xr10:uidLastSave="{ED30AF5E-F987-4B6A-8372-51BD7A57D9A4}"/>
  <bookViews>
    <workbookView xWindow="-110" yWindow="-110" windowWidth="19420" windowHeight="10300" activeTab="2" xr2:uid="{59BF8FDB-B9CE-4887-AA92-37D29FBC0A6C}"/>
  </bookViews>
  <sheets>
    <sheet name="Clean Dataset" sheetId="1" r:id="rId1"/>
    <sheet name="Dashboard" sheetId="19" r:id="rId2"/>
    <sheet name="Descriptive Statistics" sheetId="22" r:id="rId3"/>
    <sheet name="Trend Analysis" sheetId="27" r:id="rId4"/>
    <sheet name="Rship of Reviews by Discount" sheetId="25" r:id="rId5"/>
    <sheet name="Rship of Rating by Reviews" sheetId="26" r:id="rId6"/>
    <sheet name="Perfomance based on Discount %" sheetId="28" r:id="rId7"/>
    <sheet name="Top 10 Products by Reviews" sheetId="29" r:id="rId8"/>
    <sheet name="Products by Discount Category" sheetId="30" r:id="rId9"/>
    <sheet name="Products by Rating Category" sheetId="31" r:id="rId10"/>
    <sheet name="PT for Perfomance Comparison " sheetId="12" r:id="rId11"/>
    <sheet name="PT for Top &amp; Bottom 10 Products" sheetId="20" r:id="rId12"/>
  </sheets>
  <definedNames>
    <definedName name="_xlnm._FilterDatabase" localSheetId="0" hidden="1">'Clean Dataset'!$A$2:$I$113</definedName>
    <definedName name="Slicer_Discount_Category">#N/A</definedName>
    <definedName name="Slicer_Product_Category">#N/A</definedName>
    <definedName name="Slicer_Rating_Category">#N/A</definedName>
  </definedNames>
  <calcPr calcId="191029"/>
  <pivotCaches>
    <pivotCache cacheId="3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22" l="1"/>
  <c r="B3" i="22"/>
  <c r="B4" i="22"/>
  <c r="B5" i="22"/>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N30" i="1"/>
  <c r="M20" i="1"/>
  <c r="M21" i="1"/>
  <c r="M22" i="1"/>
  <c r="M23" i="1"/>
  <c r="N27" i="1"/>
  <c r="N28"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2" i="1"/>
  <c r="N9" i="1"/>
  <c r="N8" i="1"/>
  <c r="N7" i="1"/>
  <c r="N6" i="1"/>
  <c r="N5" i="1"/>
  <c r="N4" i="1"/>
  <c r="N3" i="1" l="1"/>
</calcChain>
</file>

<file path=xl/sharedStrings.xml><?xml version="1.0" encoding="utf-8"?>
<sst xmlns="http://schemas.openxmlformats.org/spreadsheetml/2006/main" count="450" uniqueCount="173">
  <si>
    <t>Product</t>
  </si>
  <si>
    <t>Current price</t>
  </si>
  <si>
    <t>Discount</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</si>
  <si>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</si>
  <si>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</si>
  <si>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</si>
  <si>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</si>
  <si>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</si>
  <si>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</si>
  <si>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</si>
  <si>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</si>
  <si>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</si>
  <si>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</si>
  <si>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</si>
  <si>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</si>
  <si>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</si>
  <si>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</si>
  <si>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</si>
  <si>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</si>
  <si>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</si>
  <si>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</si>
  <si>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</si>
  <si>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</si>
  <si>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</si>
  <si>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</si>
  <si>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</si>
  <si>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</si>
  <si>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</si>
  <si>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</si>
  <si>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</si>
  <si>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</si>
  <si>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</si>
  <si>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</si>
  <si>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</si>
  <si>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</si>
  <si>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</si>
  <si>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</si>
  <si>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</si>
  <si>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</si>
  <si>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</si>
  <si>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</si>
  <si>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</si>
  <si>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</si>
  <si>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</si>
  <si>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</si>
  <si>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</si>
  <si>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</si>
  <si>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</si>
  <si>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</si>
  <si>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</si>
  <si>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</si>
  <si>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</si>
  <si>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</si>
  <si>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</si>
  <si>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</si>
  <si>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</si>
  <si>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</si>
  <si>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</si>
  <si>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</si>
  <si>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</si>
  <si>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</si>
  <si>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</si>
  <si>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</si>
  <si>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</si>
  <si>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</si>
  <si>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</si>
  <si>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</si>
  <si>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</si>
  <si>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</si>
  <si>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</si>
  <si>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</si>
  <si>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</si>
  <si>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</si>
  <si>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</si>
  <si>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</si>
  <si>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</si>
  <si>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</si>
  <si>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</si>
  <si>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</si>
  <si>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</si>
  <si>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</si>
  <si>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</si>
  <si>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</si>
  <si>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</si>
  <si>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</si>
  <si>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</si>
  <si>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</si>
  <si>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</si>
  <si>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</si>
  <si>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</si>
  <si>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</si>
  <si>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</si>
  <si>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</si>
  <si>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</si>
  <si>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</si>
  <si>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</si>
  <si>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</si>
  <si>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</si>
  <si>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</si>
  <si>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</si>
  <si>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</si>
  <si>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</si>
  <si>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</si>
  <si>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</si>
  <si>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</si>
  <si>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Old price</t>
  </si>
  <si>
    <t>Rating</t>
  </si>
  <si>
    <t>Old Price</t>
  </si>
  <si>
    <t>Current Price</t>
  </si>
  <si>
    <t>Missing values</t>
  </si>
  <si>
    <t>Table</t>
  </si>
  <si>
    <t xml:space="preserve">Review </t>
  </si>
  <si>
    <t>Duplicates</t>
  </si>
  <si>
    <t>3 rows removed</t>
  </si>
  <si>
    <t>MultiFunctional Storage Rack Multi-layer Booelf</t>
  </si>
  <si>
    <t>Removing Ksh and comma in price columns</t>
  </si>
  <si>
    <t>Used find and replace to remove ksh</t>
  </si>
  <si>
    <t>Unchecked the comma separator from the mumbers</t>
  </si>
  <si>
    <t>Can use the NUMBERVALUE() function</t>
  </si>
  <si>
    <t>Standardizing the review column</t>
  </si>
  <si>
    <t>Used the text to column feature under Data and set the delimitter as space then deleted the three columns to the right</t>
  </si>
  <si>
    <t>Absolute Discount</t>
  </si>
  <si>
    <t>Rating Category</t>
  </si>
  <si>
    <t>Averages</t>
  </si>
  <si>
    <t>Discount percentage</t>
  </si>
  <si>
    <t>Most and Least expensive products</t>
  </si>
  <si>
    <t>Most expensive</t>
  </si>
  <si>
    <t>Least expensive</t>
  </si>
  <si>
    <t>Grand Total</t>
  </si>
  <si>
    <t>Average of Discount</t>
  </si>
  <si>
    <t>Average of Rating</t>
  </si>
  <si>
    <t>Appliances</t>
  </si>
  <si>
    <t>Home &amp; Office</t>
  </si>
  <si>
    <t>Kitchen &amp; Dining</t>
  </si>
  <si>
    <t>Clothing</t>
  </si>
  <si>
    <t>Baby Products</t>
  </si>
  <si>
    <t>Garden &amp; Outdoors</t>
  </si>
  <si>
    <t>LASA Folding Table Serving Stand</t>
  </si>
  <si>
    <t>Beddings &amp; Sanitary</t>
  </si>
  <si>
    <t>Health &amp; Beauty</t>
  </si>
  <si>
    <t>Average</t>
  </si>
  <si>
    <t>Excellent</t>
  </si>
  <si>
    <t>Poor</t>
  </si>
  <si>
    <t>Product Category</t>
  </si>
  <si>
    <t>Discount Category</t>
  </si>
  <si>
    <t>Correlation between Discount Percentage and Reviews</t>
  </si>
  <si>
    <t>High Discount</t>
  </si>
  <si>
    <t>Medium Discount</t>
  </si>
  <si>
    <t>Low Discount</t>
  </si>
  <si>
    <t>Reviews</t>
  </si>
  <si>
    <t>Products</t>
  </si>
  <si>
    <t>Count of Products</t>
  </si>
  <si>
    <t>Intelligent LED Body Sensor Wireless Lighting Night Light USB</t>
  </si>
  <si>
    <t>Anti-Skid Absorbent Insulation Coaster For Home Office</t>
  </si>
  <si>
    <t>LED Eye Protection Desk Lamp , Study, Reading, USB Fan - Double Pen Holder</t>
  </si>
  <si>
    <t>Peacock Throw Pillow Cushion Case For Home Car</t>
  </si>
  <si>
    <t>115 Piece Set Of Multifunctional Precision Screwdrivers</t>
  </si>
  <si>
    <t>Sum of Reviews</t>
  </si>
  <si>
    <t>Uknown</t>
  </si>
  <si>
    <t>Row Labels</t>
  </si>
  <si>
    <t>Sum of Rating</t>
  </si>
  <si>
    <t>Average Discount %</t>
  </si>
  <si>
    <t>Average Rating</t>
  </si>
  <si>
    <t>Most Expensive Product</t>
  </si>
  <si>
    <t>Column1</t>
  </si>
  <si>
    <t>Overview - Average Metrics</t>
  </si>
  <si>
    <t>Average Current Price</t>
  </si>
  <si>
    <t>Avarage Old Price</t>
  </si>
  <si>
    <t>Least Expensive product</t>
  </si>
  <si>
    <t xml:space="preserve">Appliances </t>
  </si>
  <si>
    <t>Average Discount and Rating Per Product Category</t>
  </si>
  <si>
    <t>Category</t>
  </si>
  <si>
    <t>Pivot Table for Top and Botton Rated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</si>
</sst>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Times New Roman"/>
      <family val="1"/>
    </font>
    <font>
      <b/>
      <sz val="12"/>
      <color theme="1"/>
      <name val="Aptos Display"/>
      <family val="2"/>
      <scheme val="major"/>
    </font>
    <font>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theme="7"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2">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0" fontId="0" fillId="34" borderId="10" xfId="0" applyFont="1" applyFill="1" applyBorder="1"/>
    <xf numFmtId="1" fontId="0" fillId="34" borderId="10" xfId="0" applyNumberFormat="1" applyFont="1" applyFill="1" applyBorder="1"/>
    <xf numFmtId="9" fontId="0" fillId="34" borderId="10" xfId="0" applyNumberFormat="1" applyFont="1" applyFill="1" applyBorder="1"/>
    <xf numFmtId="0" fontId="0" fillId="33" borderId="10" xfId="0" applyFont="1" applyFill="1" applyBorder="1"/>
    <xf numFmtId="1" fontId="0" fillId="33" borderId="10" xfId="0" applyNumberFormat="1" applyFont="1" applyFill="1" applyBorder="1"/>
    <xf numFmtId="9" fontId="0" fillId="33" borderId="10" xfId="0" applyNumberFormat="1" applyFont="1" applyFill="1" applyBorder="1"/>
    <xf numFmtId="0" fontId="19" fillId="34" borderId="10" xfId="0" applyFont="1" applyFill="1" applyBorder="1"/>
    <xf numFmtId="1" fontId="19" fillId="0" borderId="10" xfId="0" applyNumberFormat="1" applyFont="1" applyBorder="1"/>
    <xf numFmtId="0" fontId="19" fillId="0" borderId="10" xfId="0" applyFont="1" applyBorder="1"/>
    <xf numFmtId="0" fontId="19" fillId="0" borderId="10" xfId="0" applyFont="1" applyBorder="1" applyAlignment="1"/>
    <xf numFmtId="9" fontId="19" fillId="0" borderId="10" xfId="42" applyFont="1" applyBorder="1"/>
    <xf numFmtId="10" fontId="19" fillId="0" borderId="10" xfId="0" applyNumberFormat="1" applyFont="1" applyBorder="1"/>
    <xf numFmtId="164" fontId="19" fillId="0" borderId="10" xfId="0" applyNumberFormat="1" applyFont="1" applyBorder="1"/>
    <xf numFmtId="1" fontId="0" fillId="0" borderId="10" xfId="0" applyNumberFormat="1" applyFont="1" applyBorder="1"/>
    <xf numFmtId="0" fontId="0" fillId="34" borderId="12" xfId="0" applyFont="1" applyFill="1" applyBorder="1"/>
    <xf numFmtId="0" fontId="0" fillId="33" borderId="12" xfId="0" applyFont="1" applyFill="1" applyBorder="1"/>
    <xf numFmtId="9" fontId="0" fillId="0" borderId="0" xfId="0" applyNumberFormat="1"/>
    <xf numFmtId="1" fontId="0" fillId="0" borderId="0" xfId="0" applyNumberFormat="1"/>
    <xf numFmtId="0" fontId="0" fillId="34" borderId="11" xfId="0" applyFont="1" applyFill="1" applyBorder="1"/>
    <xf numFmtId="0" fontId="0" fillId="33" borderId="11" xfId="0" applyFont="1" applyFill="1" applyBorder="1"/>
    <xf numFmtId="0" fontId="0" fillId="33" borderId="16" xfId="0" applyFont="1" applyFill="1" applyBorder="1"/>
    <xf numFmtId="0" fontId="0" fillId="33" borderId="17" xfId="0" applyFont="1" applyFill="1" applyBorder="1"/>
    <xf numFmtId="1" fontId="0" fillId="33" borderId="17" xfId="0" applyNumberFormat="1" applyFont="1" applyFill="1" applyBorder="1"/>
    <xf numFmtId="1" fontId="0" fillId="0" borderId="17" xfId="0" applyNumberFormat="1" applyFont="1" applyBorder="1"/>
    <xf numFmtId="9" fontId="0" fillId="33" borderId="17" xfId="0" applyNumberFormat="1" applyFont="1" applyFill="1" applyBorder="1"/>
    <xf numFmtId="0" fontId="0" fillId="33" borderId="18" xfId="0" applyFont="1" applyFill="1" applyBorder="1"/>
    <xf numFmtId="0" fontId="20" fillId="0" borderId="13" xfId="0" applyFont="1" applyBorder="1"/>
    <xf numFmtId="0" fontId="20" fillId="0" borderId="14" xfId="0" applyFont="1" applyBorder="1"/>
    <xf numFmtId="1" fontId="20" fillId="0" borderId="14" xfId="0" applyNumberFormat="1" applyFont="1" applyBorder="1"/>
    <xf numFmtId="0" fontId="20" fillId="0" borderId="15" xfId="0" applyFont="1" applyBorder="1"/>
    <xf numFmtId="0" fontId="20" fillId="0" borderId="10" xfId="0" applyFont="1" applyBorder="1"/>
    <xf numFmtId="0" fontId="21" fillId="0" borderId="0" xfId="0" applyFont="1"/>
    <xf numFmtId="0" fontId="0" fillId="33" borderId="0" xfId="0" applyFill="1"/>
    <xf numFmtId="0" fontId="0" fillId="33" borderId="14" xfId="0" applyFill="1" applyBorder="1"/>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7"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7"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7" tint="0.79998168889431442"/>
          <bgColor theme="0"/>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7"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3" formatCode="0%"/>
      <fill>
        <patternFill patternType="solid">
          <fgColor theme="7"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3" formatCode="0%"/>
      <fill>
        <patternFill patternType="solid">
          <fgColor theme="7"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7"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7"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7"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7" tint="0.79998168889431442"/>
          <bgColor theme="0"/>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dxf>
    <dxf>
      <border outline="0">
        <bottom style="thin">
          <color indexed="64"/>
        </bottom>
      </border>
    </dxf>
    <dxf>
      <font>
        <b/>
        <i val="0"/>
        <strike val="0"/>
        <condense val="0"/>
        <extend val="0"/>
        <outline val="0"/>
        <shadow val="0"/>
        <u val="none"/>
        <vertAlign val="baseline"/>
        <sz val="12"/>
        <color theme="1"/>
        <name val="Aptos Display"/>
        <family val="2"/>
        <scheme val="maj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worksheet" Target="worksheets/sheet9.xml"/><Relationship Id="rId5" Type="http://schemas.openxmlformats.org/officeDocument/2006/relationships/chartsheet" Target="chartsheets/sheet1.xml"/><Relationship Id="rId15" Type="http://schemas.microsoft.com/office/2007/relationships/slicerCache" Target="slicerCaches/slicerCache2.xml"/><Relationship Id="rId10" Type="http://schemas.openxmlformats.org/officeDocument/2006/relationships/worksheet" Target="worksheets/sheet8.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7.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Perfomance Assignment.xlsx]PT for Top &amp; Bottom 10 Products!PivotTable1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Top</a:t>
            </a:r>
            <a:r>
              <a:rPr lang="en-US" baseline="0">
                <a:solidFill>
                  <a:srgbClr val="C00000"/>
                </a:solidFill>
              </a:rPr>
              <a:t> 10 Products by Discount %</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for Top &amp; Bottom 10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for Top &amp; Bottom 10 Products'!$A$4:$A$14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'PT for Top &amp; Bottom 10 Products'!$B$4:$B$14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0C4C-4013-B593-107AD3480442}"/>
            </c:ext>
          </c:extLst>
        </c:ser>
        <c:dLbls>
          <c:dLblPos val="outEnd"/>
          <c:showLegendKey val="0"/>
          <c:showVal val="1"/>
          <c:showCatName val="0"/>
          <c:showSerName val="0"/>
          <c:showPercent val="0"/>
          <c:showBubbleSize val="0"/>
        </c:dLbls>
        <c:gapWidth val="182"/>
        <c:axId val="867786832"/>
        <c:axId val="867803632"/>
      </c:barChart>
      <c:catAx>
        <c:axId val="86778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03632"/>
        <c:crosses val="autoZero"/>
        <c:auto val="1"/>
        <c:lblAlgn val="ctr"/>
        <c:lblOffset val="100"/>
        <c:noMultiLvlLbl val="0"/>
      </c:catAx>
      <c:valAx>
        <c:axId val="867803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Relationship</a:t>
            </a:r>
            <a:r>
              <a:rPr lang="en-US" baseline="0">
                <a:solidFill>
                  <a:srgbClr val="C00000"/>
                </a:solidFill>
              </a:rPr>
              <a:t> of </a:t>
            </a:r>
            <a:r>
              <a:rPr lang="en-US">
                <a:solidFill>
                  <a:srgbClr val="C00000"/>
                </a:solidFill>
              </a:rPr>
              <a:t>Number</a:t>
            </a:r>
            <a:r>
              <a:rPr lang="en-US" baseline="0">
                <a:solidFill>
                  <a:srgbClr val="C00000"/>
                </a:solidFill>
              </a:rPr>
              <a:t> of Reviews by Discount %</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lotArea>
      <c:layout/>
      <c:scatterChart>
        <c:scatterStyle val="lineMarker"/>
        <c:varyColors val="0"/>
        <c:ser>
          <c:idx val="0"/>
          <c:order val="0"/>
          <c:tx>
            <c:strRef>
              <c:f>'Clean Dataset'!$H$1</c:f>
              <c:strCache>
                <c:ptCount val="1"/>
                <c:pt idx="0">
                  <c:v>Reviews</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 Dataset'!$F$2:$F$113</c:f>
              <c:numCache>
                <c:formatCode>0%</c:formatCode>
                <c:ptCount val="112"/>
                <c:pt idx="0">
                  <c:v>0.64</c:v>
                </c:pt>
                <c:pt idx="1">
                  <c:v>0.61</c:v>
                </c:pt>
                <c:pt idx="2">
                  <c:v>0.55000000000000004</c:v>
                </c:pt>
                <c:pt idx="3">
                  <c:v>0.55000000000000004</c:v>
                </c:pt>
                <c:pt idx="4">
                  <c:v>0.55000000000000004</c:v>
                </c:pt>
                <c:pt idx="5">
                  <c:v>0.54</c:v>
                </c:pt>
                <c:pt idx="6">
                  <c:v>0.54</c:v>
                </c:pt>
                <c:pt idx="7">
                  <c:v>0.53</c:v>
                </c:pt>
                <c:pt idx="8">
                  <c:v>0.53</c:v>
                </c:pt>
                <c:pt idx="9">
                  <c:v>0.52</c:v>
                </c:pt>
                <c:pt idx="10">
                  <c:v>0.52</c:v>
                </c:pt>
                <c:pt idx="11">
                  <c:v>0.51</c:v>
                </c:pt>
                <c:pt idx="12">
                  <c:v>0.5</c:v>
                </c:pt>
                <c:pt idx="13">
                  <c:v>0.5</c:v>
                </c:pt>
                <c:pt idx="14">
                  <c:v>0.5</c:v>
                </c:pt>
                <c:pt idx="15">
                  <c:v>0.5</c:v>
                </c:pt>
                <c:pt idx="16">
                  <c:v>0.5</c:v>
                </c:pt>
                <c:pt idx="17">
                  <c:v>0.5</c:v>
                </c:pt>
                <c:pt idx="18">
                  <c:v>0.5</c:v>
                </c:pt>
                <c:pt idx="19">
                  <c:v>0.49</c:v>
                </c:pt>
                <c:pt idx="20">
                  <c:v>0.49</c:v>
                </c:pt>
                <c:pt idx="21">
                  <c:v>0.49</c:v>
                </c:pt>
                <c:pt idx="22">
                  <c:v>0.49</c:v>
                </c:pt>
                <c:pt idx="23">
                  <c:v>0.49</c:v>
                </c:pt>
                <c:pt idx="24">
                  <c:v>0.49</c:v>
                </c:pt>
                <c:pt idx="25">
                  <c:v>0.49</c:v>
                </c:pt>
                <c:pt idx="26">
                  <c:v>0.49</c:v>
                </c:pt>
                <c:pt idx="27">
                  <c:v>0.49</c:v>
                </c:pt>
                <c:pt idx="28">
                  <c:v>0.49</c:v>
                </c:pt>
                <c:pt idx="29">
                  <c:v>0.49</c:v>
                </c:pt>
                <c:pt idx="30">
                  <c:v>0.49</c:v>
                </c:pt>
                <c:pt idx="31">
                  <c:v>0.49</c:v>
                </c:pt>
                <c:pt idx="32">
                  <c:v>0.49</c:v>
                </c:pt>
                <c:pt idx="33">
                  <c:v>0.48</c:v>
                </c:pt>
                <c:pt idx="34">
                  <c:v>0.48</c:v>
                </c:pt>
                <c:pt idx="35">
                  <c:v>0.48</c:v>
                </c:pt>
                <c:pt idx="36">
                  <c:v>0.48</c:v>
                </c:pt>
                <c:pt idx="37">
                  <c:v>0.47</c:v>
                </c:pt>
                <c:pt idx="38">
                  <c:v>0.47</c:v>
                </c:pt>
                <c:pt idx="39">
                  <c:v>0.47</c:v>
                </c:pt>
                <c:pt idx="40">
                  <c:v>0.47</c:v>
                </c:pt>
                <c:pt idx="41">
                  <c:v>0.47</c:v>
                </c:pt>
                <c:pt idx="42">
                  <c:v>0.47</c:v>
                </c:pt>
                <c:pt idx="43">
                  <c:v>0.47</c:v>
                </c:pt>
                <c:pt idx="44">
                  <c:v>0.46</c:v>
                </c:pt>
                <c:pt idx="45">
                  <c:v>0.46</c:v>
                </c:pt>
                <c:pt idx="46">
                  <c:v>0.46</c:v>
                </c:pt>
                <c:pt idx="47">
                  <c:v>0.45</c:v>
                </c:pt>
                <c:pt idx="48">
                  <c:v>0.45</c:v>
                </c:pt>
                <c:pt idx="49">
                  <c:v>0.45</c:v>
                </c:pt>
                <c:pt idx="50">
                  <c:v>0.45</c:v>
                </c:pt>
                <c:pt idx="51">
                  <c:v>0.43</c:v>
                </c:pt>
                <c:pt idx="52">
                  <c:v>0.43</c:v>
                </c:pt>
                <c:pt idx="53">
                  <c:v>0.43</c:v>
                </c:pt>
                <c:pt idx="54">
                  <c:v>0.43</c:v>
                </c:pt>
                <c:pt idx="55">
                  <c:v>0.42</c:v>
                </c:pt>
                <c:pt idx="56">
                  <c:v>0.42</c:v>
                </c:pt>
                <c:pt idx="57">
                  <c:v>0.42</c:v>
                </c:pt>
                <c:pt idx="58">
                  <c:v>0.42</c:v>
                </c:pt>
                <c:pt idx="59">
                  <c:v>0.41</c:v>
                </c:pt>
                <c:pt idx="60">
                  <c:v>0.41</c:v>
                </c:pt>
                <c:pt idx="61">
                  <c:v>0.41</c:v>
                </c:pt>
                <c:pt idx="62">
                  <c:v>0.4</c:v>
                </c:pt>
                <c:pt idx="63">
                  <c:v>0.39</c:v>
                </c:pt>
                <c:pt idx="64">
                  <c:v>0.38</c:v>
                </c:pt>
                <c:pt idx="65">
                  <c:v>0.38</c:v>
                </c:pt>
                <c:pt idx="66">
                  <c:v>0.38</c:v>
                </c:pt>
                <c:pt idx="67">
                  <c:v>0.38</c:v>
                </c:pt>
                <c:pt idx="68">
                  <c:v>0.37</c:v>
                </c:pt>
                <c:pt idx="69">
                  <c:v>0.37</c:v>
                </c:pt>
                <c:pt idx="70">
                  <c:v>0.36</c:v>
                </c:pt>
                <c:pt idx="71">
                  <c:v>0.35</c:v>
                </c:pt>
                <c:pt idx="72">
                  <c:v>0.35</c:v>
                </c:pt>
                <c:pt idx="73">
                  <c:v>0.34</c:v>
                </c:pt>
                <c:pt idx="74">
                  <c:v>0.34</c:v>
                </c:pt>
                <c:pt idx="75">
                  <c:v>0.34</c:v>
                </c:pt>
                <c:pt idx="76">
                  <c:v>0.34</c:v>
                </c:pt>
                <c:pt idx="77">
                  <c:v>0.33</c:v>
                </c:pt>
                <c:pt idx="78">
                  <c:v>0.33</c:v>
                </c:pt>
                <c:pt idx="79">
                  <c:v>0.32</c:v>
                </c:pt>
                <c:pt idx="80">
                  <c:v>0.3</c:v>
                </c:pt>
                <c:pt idx="81">
                  <c:v>0.28999999999999998</c:v>
                </c:pt>
                <c:pt idx="82">
                  <c:v>0.27</c:v>
                </c:pt>
                <c:pt idx="83">
                  <c:v>0.27</c:v>
                </c:pt>
                <c:pt idx="84">
                  <c:v>0.27</c:v>
                </c:pt>
                <c:pt idx="85">
                  <c:v>0.26</c:v>
                </c:pt>
                <c:pt idx="86">
                  <c:v>0.25</c:v>
                </c:pt>
                <c:pt idx="87">
                  <c:v>0.24</c:v>
                </c:pt>
                <c:pt idx="88">
                  <c:v>0.24</c:v>
                </c:pt>
                <c:pt idx="89">
                  <c:v>0.23</c:v>
                </c:pt>
                <c:pt idx="90">
                  <c:v>0.22</c:v>
                </c:pt>
                <c:pt idx="91">
                  <c:v>0.22</c:v>
                </c:pt>
                <c:pt idx="92">
                  <c:v>0.21</c:v>
                </c:pt>
                <c:pt idx="93">
                  <c:v>0.2</c:v>
                </c:pt>
                <c:pt idx="94">
                  <c:v>0.19</c:v>
                </c:pt>
                <c:pt idx="95">
                  <c:v>0.18</c:v>
                </c:pt>
                <c:pt idx="96">
                  <c:v>0.14000000000000001</c:v>
                </c:pt>
                <c:pt idx="97">
                  <c:v>0.14000000000000001</c:v>
                </c:pt>
                <c:pt idx="98">
                  <c:v>0.13</c:v>
                </c:pt>
                <c:pt idx="99">
                  <c:v>0.11</c:v>
                </c:pt>
                <c:pt idx="100">
                  <c:v>0.09</c:v>
                </c:pt>
                <c:pt idx="101">
                  <c:v>0.08</c:v>
                </c:pt>
                <c:pt idx="102">
                  <c:v>0.04</c:v>
                </c:pt>
                <c:pt idx="103">
                  <c:v>0.04</c:v>
                </c:pt>
                <c:pt idx="104">
                  <c:v>0.03</c:v>
                </c:pt>
                <c:pt idx="105">
                  <c:v>0.02</c:v>
                </c:pt>
                <c:pt idx="106">
                  <c:v>0.02</c:v>
                </c:pt>
                <c:pt idx="107">
                  <c:v>0.02</c:v>
                </c:pt>
                <c:pt idx="108">
                  <c:v>0.02</c:v>
                </c:pt>
                <c:pt idx="109">
                  <c:v>0.02</c:v>
                </c:pt>
                <c:pt idx="110">
                  <c:v>0.02</c:v>
                </c:pt>
                <c:pt idx="111">
                  <c:v>0.01</c:v>
                </c:pt>
              </c:numCache>
            </c:numRef>
          </c:xVal>
          <c:yVal>
            <c:numRef>
              <c:f>'Clean Dataset'!$H$2:$H$113</c:f>
              <c:numCache>
                <c:formatCode>General</c:formatCode>
                <c:ptCount val="112"/>
                <c:pt idx="2">
                  <c:v>13</c:v>
                </c:pt>
                <c:pt idx="3">
                  <c:v>5</c:v>
                </c:pt>
                <c:pt idx="5">
                  <c:v>7</c:v>
                </c:pt>
                <c:pt idx="6">
                  <c:v>10</c:v>
                </c:pt>
                <c:pt idx="7">
                  <c:v>2</c:v>
                </c:pt>
                <c:pt idx="8">
                  <c:v>13</c:v>
                </c:pt>
                <c:pt idx="9">
                  <c:v>15</c:v>
                </c:pt>
                <c:pt idx="10">
                  <c:v>9</c:v>
                </c:pt>
                <c:pt idx="11">
                  <c:v>2</c:v>
                </c:pt>
                <c:pt idx="13">
                  <c:v>7</c:v>
                </c:pt>
                <c:pt idx="16">
                  <c:v>1</c:v>
                </c:pt>
                <c:pt idx="19">
                  <c:v>3</c:v>
                </c:pt>
                <c:pt idx="20">
                  <c:v>44</c:v>
                </c:pt>
                <c:pt idx="21">
                  <c:v>1</c:v>
                </c:pt>
                <c:pt idx="27">
                  <c:v>69</c:v>
                </c:pt>
                <c:pt idx="28">
                  <c:v>1</c:v>
                </c:pt>
                <c:pt idx="33">
                  <c:v>9</c:v>
                </c:pt>
                <c:pt idx="37">
                  <c:v>7</c:v>
                </c:pt>
                <c:pt idx="38">
                  <c:v>6</c:v>
                </c:pt>
                <c:pt idx="41">
                  <c:v>12</c:v>
                </c:pt>
                <c:pt idx="42">
                  <c:v>14</c:v>
                </c:pt>
                <c:pt idx="45">
                  <c:v>1</c:v>
                </c:pt>
                <c:pt idx="46">
                  <c:v>2</c:v>
                </c:pt>
                <c:pt idx="47">
                  <c:v>5</c:v>
                </c:pt>
                <c:pt idx="48">
                  <c:v>6</c:v>
                </c:pt>
                <c:pt idx="50">
                  <c:v>17</c:v>
                </c:pt>
                <c:pt idx="53">
                  <c:v>5</c:v>
                </c:pt>
                <c:pt idx="54">
                  <c:v>6</c:v>
                </c:pt>
                <c:pt idx="58">
                  <c:v>6</c:v>
                </c:pt>
                <c:pt idx="61">
                  <c:v>36</c:v>
                </c:pt>
                <c:pt idx="62">
                  <c:v>1</c:v>
                </c:pt>
                <c:pt idx="63">
                  <c:v>5</c:v>
                </c:pt>
                <c:pt idx="65">
                  <c:v>2</c:v>
                </c:pt>
                <c:pt idx="67">
                  <c:v>2</c:v>
                </c:pt>
                <c:pt idx="68">
                  <c:v>7</c:v>
                </c:pt>
                <c:pt idx="69">
                  <c:v>2</c:v>
                </c:pt>
                <c:pt idx="71">
                  <c:v>6</c:v>
                </c:pt>
                <c:pt idx="72">
                  <c:v>49</c:v>
                </c:pt>
                <c:pt idx="75">
                  <c:v>39</c:v>
                </c:pt>
                <c:pt idx="76">
                  <c:v>12</c:v>
                </c:pt>
                <c:pt idx="77">
                  <c:v>9</c:v>
                </c:pt>
                <c:pt idx="79">
                  <c:v>13</c:v>
                </c:pt>
                <c:pt idx="80">
                  <c:v>20</c:v>
                </c:pt>
                <c:pt idx="81">
                  <c:v>5</c:v>
                </c:pt>
                <c:pt idx="83">
                  <c:v>32</c:v>
                </c:pt>
                <c:pt idx="84">
                  <c:v>20</c:v>
                </c:pt>
                <c:pt idx="85">
                  <c:v>5</c:v>
                </c:pt>
                <c:pt idx="86">
                  <c:v>24</c:v>
                </c:pt>
                <c:pt idx="87">
                  <c:v>55</c:v>
                </c:pt>
                <c:pt idx="89">
                  <c:v>14</c:v>
                </c:pt>
                <c:pt idx="90">
                  <c:v>16</c:v>
                </c:pt>
                <c:pt idx="92">
                  <c:v>1</c:v>
                </c:pt>
                <c:pt idx="93">
                  <c:v>12</c:v>
                </c:pt>
                <c:pt idx="94">
                  <c:v>5</c:v>
                </c:pt>
                <c:pt idx="95">
                  <c:v>12</c:v>
                </c:pt>
                <c:pt idx="98">
                  <c:v>6</c:v>
                </c:pt>
                <c:pt idx="100">
                  <c:v>15</c:v>
                </c:pt>
              </c:numCache>
            </c:numRef>
          </c:yVal>
          <c:smooth val="0"/>
          <c:extLst>
            <c:ext xmlns:c16="http://schemas.microsoft.com/office/drawing/2014/chart" uri="{C3380CC4-5D6E-409C-BE32-E72D297353CC}">
              <c16:uniqueId val="{00000000-40DC-4EE8-BFDD-37F609F64632}"/>
            </c:ext>
          </c:extLst>
        </c:ser>
        <c:dLbls>
          <c:showLegendKey val="0"/>
          <c:showVal val="0"/>
          <c:showCatName val="0"/>
          <c:showSerName val="0"/>
          <c:showPercent val="0"/>
          <c:showBubbleSize val="0"/>
        </c:dLbls>
        <c:axId val="867780112"/>
        <c:axId val="867785872"/>
      </c:scatterChart>
      <c:valAx>
        <c:axId val="867780112"/>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85872"/>
        <c:crosses val="autoZero"/>
        <c:crossBetween val="midCat"/>
      </c:valAx>
      <c:valAx>
        <c:axId val="86778587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80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Perfomance Assignment.xlsx]Top 10 Products by Reviews!PivotTable21</c:name>
    <c:fmtId val="8"/>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Top</a:t>
            </a:r>
            <a:r>
              <a:rPr lang="en-US" baseline="0">
                <a:solidFill>
                  <a:srgbClr val="C00000"/>
                </a:solidFill>
              </a:rPr>
              <a:t> 10 products by Reviews</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Reviews'!$B$3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 by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10 Products by Reviews'!$B$4:$B$14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A720-4649-9A82-BBB842AC5125}"/>
            </c:ext>
          </c:extLst>
        </c:ser>
        <c:dLbls>
          <c:dLblPos val="outEnd"/>
          <c:showLegendKey val="0"/>
          <c:showVal val="1"/>
          <c:showCatName val="0"/>
          <c:showSerName val="0"/>
          <c:showPercent val="0"/>
          <c:showBubbleSize val="0"/>
        </c:dLbls>
        <c:gapWidth val="182"/>
        <c:axId val="946642272"/>
        <c:axId val="946630752"/>
      </c:barChart>
      <c:catAx>
        <c:axId val="94664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30752"/>
        <c:crosses val="autoZero"/>
        <c:auto val="1"/>
        <c:lblAlgn val="ctr"/>
        <c:lblOffset val="100"/>
        <c:noMultiLvlLbl val="0"/>
      </c:catAx>
      <c:valAx>
        <c:axId val="94663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4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Product Perfomance Assignment.xlsx]Products by Discount Category!PivotTable22</c:name>
    <c:fmtId val="10"/>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Products</a:t>
            </a:r>
            <a:r>
              <a:rPr lang="en-US" baseline="0">
                <a:solidFill>
                  <a:srgbClr val="C00000"/>
                </a:solidFill>
              </a:rPr>
              <a:t> by Discount Category</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'Products by Discount Category'!$B$3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B00-4A8C-88C1-9E84CD8DCD1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B00-4A8C-88C1-9E84CD8DCD1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B00-4A8C-88C1-9E84CD8DCD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by Discount Category'!$A$4:$A$7</c:f>
              <c:strCache>
                <c:ptCount val="3"/>
                <c:pt idx="0">
                  <c:v>High Discount</c:v>
                </c:pt>
                <c:pt idx="1">
                  <c:v>Low Discount</c:v>
                </c:pt>
                <c:pt idx="2">
                  <c:v>Medium Discount</c:v>
                </c:pt>
              </c:strCache>
            </c:strRef>
          </c:cat>
          <c:val>
            <c:numRef>
              <c:f>'Products by Discount Category'!$B$4:$B$7</c:f>
              <c:numCache>
                <c:formatCode>General</c:formatCode>
                <c:ptCount val="3"/>
                <c:pt idx="0">
                  <c:v>62</c:v>
                </c:pt>
                <c:pt idx="1">
                  <c:v>18</c:v>
                </c:pt>
                <c:pt idx="2">
                  <c:v>32</c:v>
                </c:pt>
              </c:numCache>
            </c:numRef>
          </c:val>
          <c:extLst>
            <c:ext xmlns:c16="http://schemas.microsoft.com/office/drawing/2014/chart" uri="{C3380CC4-5D6E-409C-BE32-E72D297353CC}">
              <c16:uniqueId val="{00000006-9B00-4A8C-88C1-9E84CD8DCD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Relationship of Rating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lotArea>
      <c:layout/>
      <c:scatterChart>
        <c:scatterStyle val="lineMarker"/>
        <c:varyColors val="0"/>
        <c:ser>
          <c:idx val="0"/>
          <c:order val="0"/>
          <c:tx>
            <c:strRef>
              <c:f>'Clean Dataset'!$I$1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 Dataset'!$H$2:$H$113</c:f>
              <c:numCache>
                <c:formatCode>General</c:formatCode>
                <c:ptCount val="112"/>
                <c:pt idx="2">
                  <c:v>13</c:v>
                </c:pt>
                <c:pt idx="3">
                  <c:v>5</c:v>
                </c:pt>
                <c:pt idx="5">
                  <c:v>7</c:v>
                </c:pt>
                <c:pt idx="6">
                  <c:v>10</c:v>
                </c:pt>
                <c:pt idx="7">
                  <c:v>2</c:v>
                </c:pt>
                <c:pt idx="8">
                  <c:v>13</c:v>
                </c:pt>
                <c:pt idx="9">
                  <c:v>15</c:v>
                </c:pt>
                <c:pt idx="10">
                  <c:v>9</c:v>
                </c:pt>
                <c:pt idx="11">
                  <c:v>2</c:v>
                </c:pt>
                <c:pt idx="13">
                  <c:v>7</c:v>
                </c:pt>
                <c:pt idx="16">
                  <c:v>1</c:v>
                </c:pt>
                <c:pt idx="19">
                  <c:v>3</c:v>
                </c:pt>
                <c:pt idx="20">
                  <c:v>44</c:v>
                </c:pt>
                <c:pt idx="21">
                  <c:v>1</c:v>
                </c:pt>
                <c:pt idx="27">
                  <c:v>69</c:v>
                </c:pt>
                <c:pt idx="28">
                  <c:v>1</c:v>
                </c:pt>
                <c:pt idx="33">
                  <c:v>9</c:v>
                </c:pt>
                <c:pt idx="37">
                  <c:v>7</c:v>
                </c:pt>
                <c:pt idx="38">
                  <c:v>6</c:v>
                </c:pt>
                <c:pt idx="41">
                  <c:v>12</c:v>
                </c:pt>
                <c:pt idx="42">
                  <c:v>14</c:v>
                </c:pt>
                <c:pt idx="45">
                  <c:v>1</c:v>
                </c:pt>
                <c:pt idx="46">
                  <c:v>2</c:v>
                </c:pt>
                <c:pt idx="47">
                  <c:v>5</c:v>
                </c:pt>
                <c:pt idx="48">
                  <c:v>6</c:v>
                </c:pt>
                <c:pt idx="50">
                  <c:v>17</c:v>
                </c:pt>
                <c:pt idx="53">
                  <c:v>5</c:v>
                </c:pt>
                <c:pt idx="54">
                  <c:v>6</c:v>
                </c:pt>
                <c:pt idx="58">
                  <c:v>6</c:v>
                </c:pt>
                <c:pt idx="61">
                  <c:v>36</c:v>
                </c:pt>
                <c:pt idx="62">
                  <c:v>1</c:v>
                </c:pt>
                <c:pt idx="63">
                  <c:v>5</c:v>
                </c:pt>
                <c:pt idx="65">
                  <c:v>2</c:v>
                </c:pt>
                <c:pt idx="67">
                  <c:v>2</c:v>
                </c:pt>
                <c:pt idx="68">
                  <c:v>7</c:v>
                </c:pt>
                <c:pt idx="69">
                  <c:v>2</c:v>
                </c:pt>
                <c:pt idx="71">
                  <c:v>6</c:v>
                </c:pt>
                <c:pt idx="72">
                  <c:v>49</c:v>
                </c:pt>
                <c:pt idx="75">
                  <c:v>39</c:v>
                </c:pt>
                <c:pt idx="76">
                  <c:v>12</c:v>
                </c:pt>
                <c:pt idx="77">
                  <c:v>9</c:v>
                </c:pt>
                <c:pt idx="79">
                  <c:v>13</c:v>
                </c:pt>
                <c:pt idx="80">
                  <c:v>20</c:v>
                </c:pt>
                <c:pt idx="81">
                  <c:v>5</c:v>
                </c:pt>
                <c:pt idx="83">
                  <c:v>32</c:v>
                </c:pt>
                <c:pt idx="84">
                  <c:v>20</c:v>
                </c:pt>
                <c:pt idx="85">
                  <c:v>5</c:v>
                </c:pt>
                <c:pt idx="86">
                  <c:v>24</c:v>
                </c:pt>
                <c:pt idx="87">
                  <c:v>55</c:v>
                </c:pt>
                <c:pt idx="89">
                  <c:v>14</c:v>
                </c:pt>
                <c:pt idx="90">
                  <c:v>16</c:v>
                </c:pt>
                <c:pt idx="92">
                  <c:v>1</c:v>
                </c:pt>
                <c:pt idx="93">
                  <c:v>12</c:v>
                </c:pt>
                <c:pt idx="94">
                  <c:v>5</c:v>
                </c:pt>
                <c:pt idx="95">
                  <c:v>12</c:v>
                </c:pt>
                <c:pt idx="98">
                  <c:v>6</c:v>
                </c:pt>
                <c:pt idx="100">
                  <c:v>15</c:v>
                </c:pt>
              </c:numCache>
            </c:numRef>
          </c:xVal>
          <c:yVal>
            <c:numRef>
              <c:f>'Clean Dataset'!$I$2:$I$113</c:f>
              <c:numCache>
                <c:formatCode>General</c:formatCode>
                <c:ptCount val="112"/>
                <c:pt idx="2">
                  <c:v>2.1</c:v>
                </c:pt>
                <c:pt idx="3">
                  <c:v>4.8</c:v>
                </c:pt>
                <c:pt idx="5">
                  <c:v>4.3</c:v>
                </c:pt>
                <c:pt idx="6">
                  <c:v>3</c:v>
                </c:pt>
                <c:pt idx="7">
                  <c:v>5</c:v>
                </c:pt>
                <c:pt idx="8">
                  <c:v>3.3</c:v>
                </c:pt>
                <c:pt idx="9">
                  <c:v>2.7</c:v>
                </c:pt>
                <c:pt idx="10">
                  <c:v>4.3</c:v>
                </c:pt>
                <c:pt idx="11">
                  <c:v>5</c:v>
                </c:pt>
                <c:pt idx="13">
                  <c:v>2.2999999999999998</c:v>
                </c:pt>
                <c:pt idx="16">
                  <c:v>2</c:v>
                </c:pt>
                <c:pt idx="19">
                  <c:v>5</c:v>
                </c:pt>
                <c:pt idx="20">
                  <c:v>4.5999999999999996</c:v>
                </c:pt>
                <c:pt idx="21">
                  <c:v>5</c:v>
                </c:pt>
                <c:pt idx="27">
                  <c:v>2.8</c:v>
                </c:pt>
                <c:pt idx="28">
                  <c:v>4</c:v>
                </c:pt>
                <c:pt idx="33">
                  <c:v>4.3</c:v>
                </c:pt>
                <c:pt idx="37">
                  <c:v>2.1</c:v>
                </c:pt>
                <c:pt idx="38">
                  <c:v>2.2000000000000002</c:v>
                </c:pt>
                <c:pt idx="41">
                  <c:v>4.8</c:v>
                </c:pt>
                <c:pt idx="42">
                  <c:v>4.0999999999999996</c:v>
                </c:pt>
                <c:pt idx="45">
                  <c:v>3</c:v>
                </c:pt>
                <c:pt idx="46">
                  <c:v>5</c:v>
                </c:pt>
                <c:pt idx="47">
                  <c:v>3.8</c:v>
                </c:pt>
                <c:pt idx="48">
                  <c:v>2.2000000000000002</c:v>
                </c:pt>
                <c:pt idx="50">
                  <c:v>2.6</c:v>
                </c:pt>
                <c:pt idx="53">
                  <c:v>3</c:v>
                </c:pt>
                <c:pt idx="54">
                  <c:v>2.2999999999999998</c:v>
                </c:pt>
                <c:pt idx="58">
                  <c:v>4.5</c:v>
                </c:pt>
                <c:pt idx="61">
                  <c:v>4.3</c:v>
                </c:pt>
                <c:pt idx="62">
                  <c:v>5</c:v>
                </c:pt>
                <c:pt idx="63">
                  <c:v>3</c:v>
                </c:pt>
                <c:pt idx="65">
                  <c:v>4.5</c:v>
                </c:pt>
                <c:pt idx="67">
                  <c:v>4.5</c:v>
                </c:pt>
                <c:pt idx="68">
                  <c:v>4.7</c:v>
                </c:pt>
                <c:pt idx="69">
                  <c:v>4</c:v>
                </c:pt>
                <c:pt idx="71">
                  <c:v>4</c:v>
                </c:pt>
                <c:pt idx="72">
                  <c:v>4.5999999999999996</c:v>
                </c:pt>
                <c:pt idx="75">
                  <c:v>4.7</c:v>
                </c:pt>
                <c:pt idx="76">
                  <c:v>4.7</c:v>
                </c:pt>
                <c:pt idx="77">
                  <c:v>4.2</c:v>
                </c:pt>
                <c:pt idx="79">
                  <c:v>3.8</c:v>
                </c:pt>
                <c:pt idx="80">
                  <c:v>4.0999999999999996</c:v>
                </c:pt>
                <c:pt idx="81">
                  <c:v>3</c:v>
                </c:pt>
                <c:pt idx="83">
                  <c:v>4.5</c:v>
                </c:pt>
                <c:pt idx="84">
                  <c:v>4.7</c:v>
                </c:pt>
                <c:pt idx="85">
                  <c:v>4.8</c:v>
                </c:pt>
                <c:pt idx="86">
                  <c:v>4.5999999999999996</c:v>
                </c:pt>
                <c:pt idx="87">
                  <c:v>4.5999999999999996</c:v>
                </c:pt>
                <c:pt idx="89">
                  <c:v>4.4000000000000004</c:v>
                </c:pt>
                <c:pt idx="90">
                  <c:v>2.9</c:v>
                </c:pt>
                <c:pt idx="92">
                  <c:v>5</c:v>
                </c:pt>
                <c:pt idx="93">
                  <c:v>4.0999999999999996</c:v>
                </c:pt>
                <c:pt idx="94">
                  <c:v>4.5999999999999996</c:v>
                </c:pt>
                <c:pt idx="95">
                  <c:v>3.8</c:v>
                </c:pt>
                <c:pt idx="98">
                  <c:v>2.5</c:v>
                </c:pt>
                <c:pt idx="100">
                  <c:v>4</c:v>
                </c:pt>
              </c:numCache>
            </c:numRef>
          </c:yVal>
          <c:smooth val="0"/>
          <c:extLst>
            <c:ext xmlns:c16="http://schemas.microsoft.com/office/drawing/2014/chart" uri="{C3380CC4-5D6E-409C-BE32-E72D297353CC}">
              <c16:uniqueId val="{00000000-283D-494E-9978-A653D34FEDB7}"/>
            </c:ext>
          </c:extLst>
        </c:ser>
        <c:dLbls>
          <c:showLegendKey val="0"/>
          <c:showVal val="0"/>
          <c:showCatName val="0"/>
          <c:showSerName val="0"/>
          <c:showPercent val="0"/>
          <c:showBubbleSize val="0"/>
        </c:dLbls>
        <c:axId val="867792112"/>
        <c:axId val="867793552"/>
      </c:scatterChart>
      <c:valAx>
        <c:axId val="86779211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93552"/>
        <c:crosses val="autoZero"/>
        <c:crossBetween val="midCat"/>
      </c:valAx>
      <c:valAx>
        <c:axId val="86779355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92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Perfomance Assignment.xlsx]Products by Rating Category!PivotTable23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'Products by 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D8-4EDB-8924-E354A3A0C1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D8-4EDB-8924-E354A3A0C1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D8-4EDB-8924-E354A3A0C1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D8-4EDB-8924-E354A3A0C1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by Rating Category'!$A$4:$A$8</c:f>
              <c:strCache>
                <c:ptCount val="4"/>
                <c:pt idx="0">
                  <c:v>Average</c:v>
                </c:pt>
                <c:pt idx="1">
                  <c:v>Excellent</c:v>
                </c:pt>
                <c:pt idx="2">
                  <c:v>Poor</c:v>
                </c:pt>
                <c:pt idx="3">
                  <c:v>Uknown</c:v>
                </c:pt>
              </c:strCache>
            </c:strRef>
          </c:cat>
          <c:val>
            <c:numRef>
              <c:f>'Products by Rating Category'!$B$4:$B$8</c:f>
              <c:numCache>
                <c:formatCode>General</c:formatCode>
                <c:ptCount val="4"/>
                <c:pt idx="0">
                  <c:v>22</c:v>
                </c:pt>
                <c:pt idx="1">
                  <c:v>23</c:v>
                </c:pt>
                <c:pt idx="2">
                  <c:v>12</c:v>
                </c:pt>
                <c:pt idx="3">
                  <c:v>55</c:v>
                </c:pt>
              </c:numCache>
            </c:numRef>
          </c:val>
          <c:extLst>
            <c:ext xmlns:c16="http://schemas.microsoft.com/office/drawing/2014/chart" uri="{C3380CC4-5D6E-409C-BE32-E72D297353CC}">
              <c16:uniqueId val="{00000008-C8D8-4EDB-8924-E354A3A0C1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Product Perfomance Assignment.xlsx]Products by Rating Category!PivotTable23</c:name>
    <c:fmtId val="9"/>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Products by</a:t>
            </a:r>
            <a:r>
              <a:rPr lang="en-US" baseline="0">
                <a:solidFill>
                  <a:srgbClr val="C00000"/>
                </a:solidFill>
              </a:rPr>
              <a:t> Rating Category</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'Products by Rating Category'!$B$3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2378-4DE7-8417-A343CD3AA8E6}"/>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2378-4DE7-8417-A343CD3AA8E6}"/>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2378-4DE7-8417-A343CD3AA8E6}"/>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2378-4DE7-8417-A343CD3AA8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by Rating Category'!$A$4:$A$8</c:f>
              <c:strCache>
                <c:ptCount val="4"/>
                <c:pt idx="0">
                  <c:v>Average</c:v>
                </c:pt>
                <c:pt idx="1">
                  <c:v>Excellent</c:v>
                </c:pt>
                <c:pt idx="2">
                  <c:v>Poor</c:v>
                </c:pt>
                <c:pt idx="3">
                  <c:v>Uknown</c:v>
                </c:pt>
              </c:strCache>
            </c:strRef>
          </c:cat>
          <c:val>
            <c:numRef>
              <c:f>'Products by Rating Category'!$B$4:$B$8</c:f>
              <c:numCache>
                <c:formatCode>General</c:formatCode>
                <c:ptCount val="4"/>
                <c:pt idx="0">
                  <c:v>22</c:v>
                </c:pt>
                <c:pt idx="1">
                  <c:v>23</c:v>
                </c:pt>
                <c:pt idx="2">
                  <c:v>12</c:v>
                </c:pt>
                <c:pt idx="3">
                  <c:v>55</c:v>
                </c:pt>
              </c:numCache>
            </c:numRef>
          </c:val>
          <c:extLst>
            <c:ext xmlns:c16="http://schemas.microsoft.com/office/drawing/2014/chart" uri="{C3380CC4-5D6E-409C-BE32-E72D297353CC}">
              <c16:uniqueId val="{00000008-2378-4DE7-8417-A343CD3AA8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Relationship</a:t>
            </a:r>
            <a:r>
              <a:rPr lang="en-US" sz="1800" b="1" baseline="0">
                <a:solidFill>
                  <a:srgbClr val="C00000"/>
                </a:solidFill>
              </a:rPr>
              <a:t> of </a:t>
            </a:r>
            <a:r>
              <a:rPr lang="en-US" sz="1800" b="1">
                <a:solidFill>
                  <a:srgbClr val="C00000"/>
                </a:solidFill>
              </a:rPr>
              <a:t>Number</a:t>
            </a:r>
            <a:r>
              <a:rPr lang="en-US" sz="1800" b="1" baseline="0">
                <a:solidFill>
                  <a:srgbClr val="C00000"/>
                </a:solidFill>
              </a:rPr>
              <a:t> of Reviews by Discount %</a:t>
            </a:r>
            <a:endParaRPr lang="en-US" sz="18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 Dataset'!$H$1</c:f>
              <c:strCache>
                <c:ptCount val="1"/>
                <c:pt idx="0">
                  <c:v>Reviews</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 Dataset'!$F$2:$F$113</c:f>
              <c:numCache>
                <c:formatCode>0%</c:formatCode>
                <c:ptCount val="112"/>
                <c:pt idx="0">
                  <c:v>0.64</c:v>
                </c:pt>
                <c:pt idx="1">
                  <c:v>0.61</c:v>
                </c:pt>
                <c:pt idx="2">
                  <c:v>0.55000000000000004</c:v>
                </c:pt>
                <c:pt idx="3">
                  <c:v>0.55000000000000004</c:v>
                </c:pt>
                <c:pt idx="4">
                  <c:v>0.55000000000000004</c:v>
                </c:pt>
                <c:pt idx="5">
                  <c:v>0.54</c:v>
                </c:pt>
                <c:pt idx="6">
                  <c:v>0.54</c:v>
                </c:pt>
                <c:pt idx="7">
                  <c:v>0.53</c:v>
                </c:pt>
                <c:pt idx="8">
                  <c:v>0.53</c:v>
                </c:pt>
                <c:pt idx="9">
                  <c:v>0.52</c:v>
                </c:pt>
                <c:pt idx="10">
                  <c:v>0.52</c:v>
                </c:pt>
                <c:pt idx="11">
                  <c:v>0.51</c:v>
                </c:pt>
                <c:pt idx="12">
                  <c:v>0.5</c:v>
                </c:pt>
                <c:pt idx="13">
                  <c:v>0.5</c:v>
                </c:pt>
                <c:pt idx="14">
                  <c:v>0.5</c:v>
                </c:pt>
                <c:pt idx="15">
                  <c:v>0.5</c:v>
                </c:pt>
                <c:pt idx="16">
                  <c:v>0.5</c:v>
                </c:pt>
                <c:pt idx="17">
                  <c:v>0.5</c:v>
                </c:pt>
                <c:pt idx="18">
                  <c:v>0.5</c:v>
                </c:pt>
                <c:pt idx="19">
                  <c:v>0.49</c:v>
                </c:pt>
                <c:pt idx="20">
                  <c:v>0.49</c:v>
                </c:pt>
                <c:pt idx="21">
                  <c:v>0.49</c:v>
                </c:pt>
                <c:pt idx="22">
                  <c:v>0.49</c:v>
                </c:pt>
                <c:pt idx="23">
                  <c:v>0.49</c:v>
                </c:pt>
                <c:pt idx="24">
                  <c:v>0.49</c:v>
                </c:pt>
                <c:pt idx="25">
                  <c:v>0.49</c:v>
                </c:pt>
                <c:pt idx="26">
                  <c:v>0.49</c:v>
                </c:pt>
                <c:pt idx="27">
                  <c:v>0.49</c:v>
                </c:pt>
                <c:pt idx="28">
                  <c:v>0.49</c:v>
                </c:pt>
                <c:pt idx="29">
                  <c:v>0.49</c:v>
                </c:pt>
                <c:pt idx="30">
                  <c:v>0.49</c:v>
                </c:pt>
                <c:pt idx="31">
                  <c:v>0.49</c:v>
                </c:pt>
                <c:pt idx="32">
                  <c:v>0.49</c:v>
                </c:pt>
                <c:pt idx="33">
                  <c:v>0.48</c:v>
                </c:pt>
                <c:pt idx="34">
                  <c:v>0.48</c:v>
                </c:pt>
                <c:pt idx="35">
                  <c:v>0.48</c:v>
                </c:pt>
                <c:pt idx="36">
                  <c:v>0.48</c:v>
                </c:pt>
                <c:pt idx="37">
                  <c:v>0.47</c:v>
                </c:pt>
                <c:pt idx="38">
                  <c:v>0.47</c:v>
                </c:pt>
                <c:pt idx="39">
                  <c:v>0.47</c:v>
                </c:pt>
                <c:pt idx="40">
                  <c:v>0.47</c:v>
                </c:pt>
                <c:pt idx="41">
                  <c:v>0.47</c:v>
                </c:pt>
                <c:pt idx="42">
                  <c:v>0.47</c:v>
                </c:pt>
                <c:pt idx="43">
                  <c:v>0.47</c:v>
                </c:pt>
                <c:pt idx="44">
                  <c:v>0.46</c:v>
                </c:pt>
                <c:pt idx="45">
                  <c:v>0.46</c:v>
                </c:pt>
                <c:pt idx="46">
                  <c:v>0.46</c:v>
                </c:pt>
                <c:pt idx="47">
                  <c:v>0.45</c:v>
                </c:pt>
                <c:pt idx="48">
                  <c:v>0.45</c:v>
                </c:pt>
                <c:pt idx="49">
                  <c:v>0.45</c:v>
                </c:pt>
                <c:pt idx="50">
                  <c:v>0.45</c:v>
                </c:pt>
                <c:pt idx="51">
                  <c:v>0.43</c:v>
                </c:pt>
                <c:pt idx="52">
                  <c:v>0.43</c:v>
                </c:pt>
                <c:pt idx="53">
                  <c:v>0.43</c:v>
                </c:pt>
                <c:pt idx="54">
                  <c:v>0.43</c:v>
                </c:pt>
                <c:pt idx="55">
                  <c:v>0.42</c:v>
                </c:pt>
                <c:pt idx="56">
                  <c:v>0.42</c:v>
                </c:pt>
                <c:pt idx="57">
                  <c:v>0.42</c:v>
                </c:pt>
                <c:pt idx="58">
                  <c:v>0.42</c:v>
                </c:pt>
                <c:pt idx="59">
                  <c:v>0.41</c:v>
                </c:pt>
                <c:pt idx="60">
                  <c:v>0.41</c:v>
                </c:pt>
                <c:pt idx="61">
                  <c:v>0.41</c:v>
                </c:pt>
                <c:pt idx="62">
                  <c:v>0.4</c:v>
                </c:pt>
                <c:pt idx="63">
                  <c:v>0.39</c:v>
                </c:pt>
                <c:pt idx="64">
                  <c:v>0.38</c:v>
                </c:pt>
                <c:pt idx="65">
                  <c:v>0.38</c:v>
                </c:pt>
                <c:pt idx="66">
                  <c:v>0.38</c:v>
                </c:pt>
                <c:pt idx="67">
                  <c:v>0.38</c:v>
                </c:pt>
                <c:pt idx="68">
                  <c:v>0.37</c:v>
                </c:pt>
                <c:pt idx="69">
                  <c:v>0.37</c:v>
                </c:pt>
                <c:pt idx="70">
                  <c:v>0.36</c:v>
                </c:pt>
                <c:pt idx="71">
                  <c:v>0.35</c:v>
                </c:pt>
                <c:pt idx="72">
                  <c:v>0.35</c:v>
                </c:pt>
                <c:pt idx="73">
                  <c:v>0.34</c:v>
                </c:pt>
                <c:pt idx="74">
                  <c:v>0.34</c:v>
                </c:pt>
                <c:pt idx="75">
                  <c:v>0.34</c:v>
                </c:pt>
                <c:pt idx="76">
                  <c:v>0.34</c:v>
                </c:pt>
                <c:pt idx="77">
                  <c:v>0.33</c:v>
                </c:pt>
                <c:pt idx="78">
                  <c:v>0.33</c:v>
                </c:pt>
                <c:pt idx="79">
                  <c:v>0.32</c:v>
                </c:pt>
                <c:pt idx="80">
                  <c:v>0.3</c:v>
                </c:pt>
                <c:pt idx="81">
                  <c:v>0.28999999999999998</c:v>
                </c:pt>
                <c:pt idx="82">
                  <c:v>0.27</c:v>
                </c:pt>
                <c:pt idx="83">
                  <c:v>0.27</c:v>
                </c:pt>
                <c:pt idx="84">
                  <c:v>0.27</c:v>
                </c:pt>
                <c:pt idx="85">
                  <c:v>0.26</c:v>
                </c:pt>
                <c:pt idx="86">
                  <c:v>0.25</c:v>
                </c:pt>
                <c:pt idx="87">
                  <c:v>0.24</c:v>
                </c:pt>
                <c:pt idx="88">
                  <c:v>0.24</c:v>
                </c:pt>
                <c:pt idx="89">
                  <c:v>0.23</c:v>
                </c:pt>
                <c:pt idx="90">
                  <c:v>0.22</c:v>
                </c:pt>
                <c:pt idx="91">
                  <c:v>0.22</c:v>
                </c:pt>
                <c:pt idx="92">
                  <c:v>0.21</c:v>
                </c:pt>
                <c:pt idx="93">
                  <c:v>0.2</c:v>
                </c:pt>
                <c:pt idx="94">
                  <c:v>0.19</c:v>
                </c:pt>
                <c:pt idx="95">
                  <c:v>0.18</c:v>
                </c:pt>
                <c:pt idx="96">
                  <c:v>0.14000000000000001</c:v>
                </c:pt>
                <c:pt idx="97">
                  <c:v>0.14000000000000001</c:v>
                </c:pt>
                <c:pt idx="98">
                  <c:v>0.13</c:v>
                </c:pt>
                <c:pt idx="99">
                  <c:v>0.11</c:v>
                </c:pt>
                <c:pt idx="100">
                  <c:v>0.09</c:v>
                </c:pt>
                <c:pt idx="101">
                  <c:v>0.08</c:v>
                </c:pt>
                <c:pt idx="102">
                  <c:v>0.04</c:v>
                </c:pt>
                <c:pt idx="103">
                  <c:v>0.04</c:v>
                </c:pt>
                <c:pt idx="104">
                  <c:v>0.03</c:v>
                </c:pt>
                <c:pt idx="105">
                  <c:v>0.02</c:v>
                </c:pt>
                <c:pt idx="106">
                  <c:v>0.02</c:v>
                </c:pt>
                <c:pt idx="107">
                  <c:v>0.02</c:v>
                </c:pt>
                <c:pt idx="108">
                  <c:v>0.02</c:v>
                </c:pt>
                <c:pt idx="109">
                  <c:v>0.02</c:v>
                </c:pt>
                <c:pt idx="110">
                  <c:v>0.02</c:v>
                </c:pt>
                <c:pt idx="111">
                  <c:v>0.01</c:v>
                </c:pt>
              </c:numCache>
            </c:numRef>
          </c:xVal>
          <c:yVal>
            <c:numRef>
              <c:f>'Clean Dataset'!$H$2:$H$113</c:f>
              <c:numCache>
                <c:formatCode>General</c:formatCode>
                <c:ptCount val="112"/>
                <c:pt idx="2">
                  <c:v>13</c:v>
                </c:pt>
                <c:pt idx="3">
                  <c:v>5</c:v>
                </c:pt>
                <c:pt idx="5">
                  <c:v>7</c:v>
                </c:pt>
                <c:pt idx="6">
                  <c:v>10</c:v>
                </c:pt>
                <c:pt idx="7">
                  <c:v>2</c:v>
                </c:pt>
                <c:pt idx="8">
                  <c:v>13</c:v>
                </c:pt>
                <c:pt idx="9">
                  <c:v>15</c:v>
                </c:pt>
                <c:pt idx="10">
                  <c:v>9</c:v>
                </c:pt>
                <c:pt idx="11">
                  <c:v>2</c:v>
                </c:pt>
                <c:pt idx="13">
                  <c:v>7</c:v>
                </c:pt>
                <c:pt idx="16">
                  <c:v>1</c:v>
                </c:pt>
                <c:pt idx="19">
                  <c:v>3</c:v>
                </c:pt>
                <c:pt idx="20">
                  <c:v>44</c:v>
                </c:pt>
                <c:pt idx="21">
                  <c:v>1</c:v>
                </c:pt>
                <c:pt idx="27">
                  <c:v>69</c:v>
                </c:pt>
                <c:pt idx="28">
                  <c:v>1</c:v>
                </c:pt>
                <c:pt idx="33">
                  <c:v>9</c:v>
                </c:pt>
                <c:pt idx="37">
                  <c:v>7</c:v>
                </c:pt>
                <c:pt idx="38">
                  <c:v>6</c:v>
                </c:pt>
                <c:pt idx="41">
                  <c:v>12</c:v>
                </c:pt>
                <c:pt idx="42">
                  <c:v>14</c:v>
                </c:pt>
                <c:pt idx="45">
                  <c:v>1</c:v>
                </c:pt>
                <c:pt idx="46">
                  <c:v>2</c:v>
                </c:pt>
                <c:pt idx="47">
                  <c:v>5</c:v>
                </c:pt>
                <c:pt idx="48">
                  <c:v>6</c:v>
                </c:pt>
                <c:pt idx="50">
                  <c:v>17</c:v>
                </c:pt>
                <c:pt idx="53">
                  <c:v>5</c:v>
                </c:pt>
                <c:pt idx="54">
                  <c:v>6</c:v>
                </c:pt>
                <c:pt idx="58">
                  <c:v>6</c:v>
                </c:pt>
                <c:pt idx="61">
                  <c:v>36</c:v>
                </c:pt>
                <c:pt idx="62">
                  <c:v>1</c:v>
                </c:pt>
                <c:pt idx="63">
                  <c:v>5</c:v>
                </c:pt>
                <c:pt idx="65">
                  <c:v>2</c:v>
                </c:pt>
                <c:pt idx="67">
                  <c:v>2</c:v>
                </c:pt>
                <c:pt idx="68">
                  <c:v>7</c:v>
                </c:pt>
                <c:pt idx="69">
                  <c:v>2</c:v>
                </c:pt>
                <c:pt idx="71">
                  <c:v>6</c:v>
                </c:pt>
                <c:pt idx="72">
                  <c:v>49</c:v>
                </c:pt>
                <c:pt idx="75">
                  <c:v>39</c:v>
                </c:pt>
                <c:pt idx="76">
                  <c:v>12</c:v>
                </c:pt>
                <c:pt idx="77">
                  <c:v>9</c:v>
                </c:pt>
                <c:pt idx="79">
                  <c:v>13</c:v>
                </c:pt>
                <c:pt idx="80">
                  <c:v>20</c:v>
                </c:pt>
                <c:pt idx="81">
                  <c:v>5</c:v>
                </c:pt>
                <c:pt idx="83">
                  <c:v>32</c:v>
                </c:pt>
                <c:pt idx="84">
                  <c:v>20</c:v>
                </c:pt>
                <c:pt idx="85">
                  <c:v>5</c:v>
                </c:pt>
                <c:pt idx="86">
                  <c:v>24</c:v>
                </c:pt>
                <c:pt idx="87">
                  <c:v>55</c:v>
                </c:pt>
                <c:pt idx="89">
                  <c:v>14</c:v>
                </c:pt>
                <c:pt idx="90">
                  <c:v>16</c:v>
                </c:pt>
                <c:pt idx="92">
                  <c:v>1</c:v>
                </c:pt>
                <c:pt idx="93">
                  <c:v>12</c:v>
                </c:pt>
                <c:pt idx="94">
                  <c:v>5</c:v>
                </c:pt>
                <c:pt idx="95">
                  <c:v>12</c:v>
                </c:pt>
                <c:pt idx="98">
                  <c:v>6</c:v>
                </c:pt>
                <c:pt idx="100">
                  <c:v>15</c:v>
                </c:pt>
              </c:numCache>
            </c:numRef>
          </c:yVal>
          <c:smooth val="0"/>
          <c:extLst>
            <c:ext xmlns:c16="http://schemas.microsoft.com/office/drawing/2014/chart" uri="{C3380CC4-5D6E-409C-BE32-E72D297353CC}">
              <c16:uniqueId val="{00000000-189B-4058-A609-50979F3C9084}"/>
            </c:ext>
          </c:extLst>
        </c:ser>
        <c:dLbls>
          <c:showLegendKey val="0"/>
          <c:showVal val="0"/>
          <c:showCatName val="0"/>
          <c:showSerName val="0"/>
          <c:showPercent val="0"/>
          <c:showBubbleSize val="0"/>
        </c:dLbls>
        <c:axId val="867780112"/>
        <c:axId val="867785872"/>
      </c:scatterChart>
      <c:valAx>
        <c:axId val="867780112"/>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85872"/>
        <c:crosses val="autoZero"/>
        <c:crossBetween val="midCat"/>
      </c:valAx>
      <c:valAx>
        <c:axId val="86778587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80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r>
              <a:rPr lang="en-US" sz="1600">
                <a:solidFill>
                  <a:srgbClr val="C00000"/>
                </a:solidFill>
              </a:rPr>
              <a:t>Relationship of Rating by Reviews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C00000"/>
              </a:solidFill>
              <a:latin typeface="+mn-lt"/>
              <a:ea typeface="+mn-ea"/>
              <a:cs typeface="+mn-cs"/>
            </a:defRPr>
          </a:pPr>
          <a:endParaRPr lang="en-US"/>
        </a:p>
      </c:txPr>
    </c:title>
    <c:autoTitleDeleted val="0"/>
    <c:plotArea>
      <c:layout/>
      <c:scatterChart>
        <c:scatterStyle val="lineMarker"/>
        <c:varyColors val="0"/>
        <c:ser>
          <c:idx val="0"/>
          <c:order val="0"/>
          <c:tx>
            <c:strRef>
              <c:f>'Clean Dataset'!$I$1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 Dataset'!$H$2:$H$113</c:f>
              <c:numCache>
                <c:formatCode>General</c:formatCode>
                <c:ptCount val="112"/>
                <c:pt idx="2">
                  <c:v>13</c:v>
                </c:pt>
                <c:pt idx="3">
                  <c:v>5</c:v>
                </c:pt>
                <c:pt idx="5">
                  <c:v>7</c:v>
                </c:pt>
                <c:pt idx="6">
                  <c:v>10</c:v>
                </c:pt>
                <c:pt idx="7">
                  <c:v>2</c:v>
                </c:pt>
                <c:pt idx="8">
                  <c:v>13</c:v>
                </c:pt>
                <c:pt idx="9">
                  <c:v>15</c:v>
                </c:pt>
                <c:pt idx="10">
                  <c:v>9</c:v>
                </c:pt>
                <c:pt idx="11">
                  <c:v>2</c:v>
                </c:pt>
                <c:pt idx="13">
                  <c:v>7</c:v>
                </c:pt>
                <c:pt idx="16">
                  <c:v>1</c:v>
                </c:pt>
                <c:pt idx="19">
                  <c:v>3</c:v>
                </c:pt>
                <c:pt idx="20">
                  <c:v>44</c:v>
                </c:pt>
                <c:pt idx="21">
                  <c:v>1</c:v>
                </c:pt>
                <c:pt idx="27">
                  <c:v>69</c:v>
                </c:pt>
                <c:pt idx="28">
                  <c:v>1</c:v>
                </c:pt>
                <c:pt idx="33">
                  <c:v>9</c:v>
                </c:pt>
                <c:pt idx="37">
                  <c:v>7</c:v>
                </c:pt>
                <c:pt idx="38">
                  <c:v>6</c:v>
                </c:pt>
                <c:pt idx="41">
                  <c:v>12</c:v>
                </c:pt>
                <c:pt idx="42">
                  <c:v>14</c:v>
                </c:pt>
                <c:pt idx="45">
                  <c:v>1</c:v>
                </c:pt>
                <c:pt idx="46">
                  <c:v>2</c:v>
                </c:pt>
                <c:pt idx="47">
                  <c:v>5</c:v>
                </c:pt>
                <c:pt idx="48">
                  <c:v>6</c:v>
                </c:pt>
                <c:pt idx="50">
                  <c:v>17</c:v>
                </c:pt>
                <c:pt idx="53">
                  <c:v>5</c:v>
                </c:pt>
                <c:pt idx="54">
                  <c:v>6</c:v>
                </c:pt>
                <c:pt idx="58">
                  <c:v>6</c:v>
                </c:pt>
                <c:pt idx="61">
                  <c:v>36</c:v>
                </c:pt>
                <c:pt idx="62">
                  <c:v>1</c:v>
                </c:pt>
                <c:pt idx="63">
                  <c:v>5</c:v>
                </c:pt>
                <c:pt idx="65">
                  <c:v>2</c:v>
                </c:pt>
                <c:pt idx="67">
                  <c:v>2</c:v>
                </c:pt>
                <c:pt idx="68">
                  <c:v>7</c:v>
                </c:pt>
                <c:pt idx="69">
                  <c:v>2</c:v>
                </c:pt>
                <c:pt idx="71">
                  <c:v>6</c:v>
                </c:pt>
                <c:pt idx="72">
                  <c:v>49</c:v>
                </c:pt>
                <c:pt idx="75">
                  <c:v>39</c:v>
                </c:pt>
                <c:pt idx="76">
                  <c:v>12</c:v>
                </c:pt>
                <c:pt idx="77">
                  <c:v>9</c:v>
                </c:pt>
                <c:pt idx="79">
                  <c:v>13</c:v>
                </c:pt>
                <c:pt idx="80">
                  <c:v>20</c:v>
                </c:pt>
                <c:pt idx="81">
                  <c:v>5</c:v>
                </c:pt>
                <c:pt idx="83">
                  <c:v>32</c:v>
                </c:pt>
                <c:pt idx="84">
                  <c:v>20</c:v>
                </c:pt>
                <c:pt idx="85">
                  <c:v>5</c:v>
                </c:pt>
                <c:pt idx="86">
                  <c:v>24</c:v>
                </c:pt>
                <c:pt idx="87">
                  <c:v>55</c:v>
                </c:pt>
                <c:pt idx="89">
                  <c:v>14</c:v>
                </c:pt>
                <c:pt idx="90">
                  <c:v>16</c:v>
                </c:pt>
                <c:pt idx="92">
                  <c:v>1</c:v>
                </c:pt>
                <c:pt idx="93">
                  <c:v>12</c:v>
                </c:pt>
                <c:pt idx="94">
                  <c:v>5</c:v>
                </c:pt>
                <c:pt idx="95">
                  <c:v>12</c:v>
                </c:pt>
                <c:pt idx="98">
                  <c:v>6</c:v>
                </c:pt>
                <c:pt idx="100">
                  <c:v>15</c:v>
                </c:pt>
              </c:numCache>
            </c:numRef>
          </c:xVal>
          <c:yVal>
            <c:numRef>
              <c:f>'Clean Dataset'!$I$2:$I$113</c:f>
              <c:numCache>
                <c:formatCode>General</c:formatCode>
                <c:ptCount val="112"/>
                <c:pt idx="2">
                  <c:v>2.1</c:v>
                </c:pt>
                <c:pt idx="3">
                  <c:v>4.8</c:v>
                </c:pt>
                <c:pt idx="5">
                  <c:v>4.3</c:v>
                </c:pt>
                <c:pt idx="6">
                  <c:v>3</c:v>
                </c:pt>
                <c:pt idx="7">
                  <c:v>5</c:v>
                </c:pt>
                <c:pt idx="8">
                  <c:v>3.3</c:v>
                </c:pt>
                <c:pt idx="9">
                  <c:v>2.7</c:v>
                </c:pt>
                <c:pt idx="10">
                  <c:v>4.3</c:v>
                </c:pt>
                <c:pt idx="11">
                  <c:v>5</c:v>
                </c:pt>
                <c:pt idx="13">
                  <c:v>2.2999999999999998</c:v>
                </c:pt>
                <c:pt idx="16">
                  <c:v>2</c:v>
                </c:pt>
                <c:pt idx="19">
                  <c:v>5</c:v>
                </c:pt>
                <c:pt idx="20">
                  <c:v>4.5999999999999996</c:v>
                </c:pt>
                <c:pt idx="21">
                  <c:v>5</c:v>
                </c:pt>
                <c:pt idx="27">
                  <c:v>2.8</c:v>
                </c:pt>
                <c:pt idx="28">
                  <c:v>4</c:v>
                </c:pt>
                <c:pt idx="33">
                  <c:v>4.3</c:v>
                </c:pt>
                <c:pt idx="37">
                  <c:v>2.1</c:v>
                </c:pt>
                <c:pt idx="38">
                  <c:v>2.2000000000000002</c:v>
                </c:pt>
                <c:pt idx="41">
                  <c:v>4.8</c:v>
                </c:pt>
                <c:pt idx="42">
                  <c:v>4.0999999999999996</c:v>
                </c:pt>
                <c:pt idx="45">
                  <c:v>3</c:v>
                </c:pt>
                <c:pt idx="46">
                  <c:v>5</c:v>
                </c:pt>
                <c:pt idx="47">
                  <c:v>3.8</c:v>
                </c:pt>
                <c:pt idx="48">
                  <c:v>2.2000000000000002</c:v>
                </c:pt>
                <c:pt idx="50">
                  <c:v>2.6</c:v>
                </c:pt>
                <c:pt idx="53">
                  <c:v>3</c:v>
                </c:pt>
                <c:pt idx="54">
                  <c:v>2.2999999999999998</c:v>
                </c:pt>
                <c:pt idx="58">
                  <c:v>4.5</c:v>
                </c:pt>
                <c:pt idx="61">
                  <c:v>4.3</c:v>
                </c:pt>
                <c:pt idx="62">
                  <c:v>5</c:v>
                </c:pt>
                <c:pt idx="63">
                  <c:v>3</c:v>
                </c:pt>
                <c:pt idx="65">
                  <c:v>4.5</c:v>
                </c:pt>
                <c:pt idx="67">
                  <c:v>4.5</c:v>
                </c:pt>
                <c:pt idx="68">
                  <c:v>4.7</c:v>
                </c:pt>
                <c:pt idx="69">
                  <c:v>4</c:v>
                </c:pt>
                <c:pt idx="71">
                  <c:v>4</c:v>
                </c:pt>
                <c:pt idx="72">
                  <c:v>4.5999999999999996</c:v>
                </c:pt>
                <c:pt idx="75">
                  <c:v>4.7</c:v>
                </c:pt>
                <c:pt idx="76">
                  <c:v>4.7</c:v>
                </c:pt>
                <c:pt idx="77">
                  <c:v>4.2</c:v>
                </c:pt>
                <c:pt idx="79">
                  <c:v>3.8</c:v>
                </c:pt>
                <c:pt idx="80">
                  <c:v>4.0999999999999996</c:v>
                </c:pt>
                <c:pt idx="81">
                  <c:v>3</c:v>
                </c:pt>
                <c:pt idx="83">
                  <c:v>4.5</c:v>
                </c:pt>
                <c:pt idx="84">
                  <c:v>4.7</c:v>
                </c:pt>
                <c:pt idx="85">
                  <c:v>4.8</c:v>
                </c:pt>
                <c:pt idx="86">
                  <c:v>4.5999999999999996</c:v>
                </c:pt>
                <c:pt idx="87">
                  <c:v>4.5999999999999996</c:v>
                </c:pt>
                <c:pt idx="89">
                  <c:v>4.4000000000000004</c:v>
                </c:pt>
                <c:pt idx="90">
                  <c:v>2.9</c:v>
                </c:pt>
                <c:pt idx="92">
                  <c:v>5</c:v>
                </c:pt>
                <c:pt idx="93">
                  <c:v>4.0999999999999996</c:v>
                </c:pt>
                <c:pt idx="94">
                  <c:v>4.5999999999999996</c:v>
                </c:pt>
                <c:pt idx="95">
                  <c:v>3.8</c:v>
                </c:pt>
                <c:pt idx="98">
                  <c:v>2.5</c:v>
                </c:pt>
                <c:pt idx="100">
                  <c:v>4</c:v>
                </c:pt>
              </c:numCache>
            </c:numRef>
          </c:yVal>
          <c:smooth val="0"/>
          <c:extLst>
            <c:ext xmlns:c16="http://schemas.microsoft.com/office/drawing/2014/chart" uri="{C3380CC4-5D6E-409C-BE32-E72D297353CC}">
              <c16:uniqueId val="{00000000-5C14-4379-BBD6-2B5E2AEBDB19}"/>
            </c:ext>
          </c:extLst>
        </c:ser>
        <c:dLbls>
          <c:showLegendKey val="0"/>
          <c:showVal val="0"/>
          <c:showCatName val="0"/>
          <c:showSerName val="0"/>
          <c:showPercent val="0"/>
          <c:showBubbleSize val="0"/>
        </c:dLbls>
        <c:axId val="867792112"/>
        <c:axId val="867793552"/>
      </c:scatterChart>
      <c:valAx>
        <c:axId val="86779211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93552"/>
        <c:crosses val="autoZero"/>
        <c:crossBetween val="midCat"/>
      </c:valAx>
      <c:valAx>
        <c:axId val="86779355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92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Perfomance Assignment.xlsx]Top 10 Products by Reviews!PivotTable21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Reviews'!$B$3</c:f>
              <c:strCache>
                <c:ptCount val="1"/>
                <c:pt idx="0">
                  <c:v>Total</c:v>
                </c:pt>
              </c:strCache>
            </c:strRef>
          </c:tx>
          <c:spPr>
            <a:solidFill>
              <a:schemeClr val="accent1"/>
            </a:solidFill>
            <a:ln>
              <a:noFill/>
            </a:ln>
            <a:effectLst/>
          </c:spPr>
          <c:invertIfNegative val="0"/>
          <c:cat>
            <c:strRef>
              <c:f>'Top 10 Products by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10 Products by Reviews'!$B$4:$B$14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A69C-4473-A81D-6A0260A03468}"/>
            </c:ext>
          </c:extLst>
        </c:ser>
        <c:dLbls>
          <c:showLegendKey val="0"/>
          <c:showVal val="0"/>
          <c:showCatName val="0"/>
          <c:showSerName val="0"/>
          <c:showPercent val="0"/>
          <c:showBubbleSize val="0"/>
        </c:dLbls>
        <c:gapWidth val="182"/>
        <c:axId val="946642272"/>
        <c:axId val="946630752"/>
      </c:barChart>
      <c:catAx>
        <c:axId val="94664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30752"/>
        <c:crosses val="autoZero"/>
        <c:auto val="1"/>
        <c:lblAlgn val="ctr"/>
        <c:lblOffset val="100"/>
        <c:noMultiLvlLbl val="0"/>
      </c:catAx>
      <c:valAx>
        <c:axId val="94663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4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Perfomance Assignment.xlsx]Products by Discount Category!PivotTable22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'Products by Discount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by Discount Category'!$A$4:$A$7</c:f>
              <c:strCache>
                <c:ptCount val="3"/>
                <c:pt idx="0">
                  <c:v>High Discount</c:v>
                </c:pt>
                <c:pt idx="1">
                  <c:v>Low Discount</c:v>
                </c:pt>
                <c:pt idx="2">
                  <c:v>Medium Discount</c:v>
                </c:pt>
              </c:strCache>
            </c:strRef>
          </c:cat>
          <c:val>
            <c:numRef>
              <c:f>'Products by Discount Category'!$B$4:$B$7</c:f>
              <c:numCache>
                <c:formatCode>General</c:formatCode>
                <c:ptCount val="3"/>
                <c:pt idx="0">
                  <c:v>62</c:v>
                </c:pt>
                <c:pt idx="1">
                  <c:v>18</c:v>
                </c:pt>
                <c:pt idx="2">
                  <c:v>32</c:v>
                </c:pt>
              </c:numCache>
            </c:numRef>
          </c:val>
          <c:extLst>
            <c:ext xmlns:c16="http://schemas.microsoft.com/office/drawing/2014/chart" uri="{C3380CC4-5D6E-409C-BE32-E72D297353CC}">
              <c16:uniqueId val="{00000000-F31D-464A-B9D4-4A163F56DF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Perfomance Assignment.xlsx]Products by Rating Category!PivotTable23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'Products by Rating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by Rating Category'!$A$4:$A$8</c:f>
              <c:strCache>
                <c:ptCount val="4"/>
                <c:pt idx="0">
                  <c:v>Average</c:v>
                </c:pt>
                <c:pt idx="1">
                  <c:v>Excellent</c:v>
                </c:pt>
                <c:pt idx="2">
                  <c:v>Poor</c:v>
                </c:pt>
                <c:pt idx="3">
                  <c:v>Uknown</c:v>
                </c:pt>
              </c:strCache>
            </c:strRef>
          </c:cat>
          <c:val>
            <c:numRef>
              <c:f>'Products by Rating Category'!$B$4:$B$8</c:f>
              <c:numCache>
                <c:formatCode>General</c:formatCode>
                <c:ptCount val="4"/>
                <c:pt idx="0">
                  <c:v>22</c:v>
                </c:pt>
                <c:pt idx="1">
                  <c:v>23</c:v>
                </c:pt>
                <c:pt idx="2">
                  <c:v>12</c:v>
                </c:pt>
                <c:pt idx="3">
                  <c:v>55</c:v>
                </c:pt>
              </c:numCache>
            </c:numRef>
          </c:val>
          <c:extLst>
            <c:ext xmlns:c16="http://schemas.microsoft.com/office/drawing/2014/chart" uri="{C3380CC4-5D6E-409C-BE32-E72D297353CC}">
              <c16:uniqueId val="{00000000-2515-4830-A723-E5521BCABA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Perfomance Assignment.xlsx]PT for Top &amp; Bottom 10 Products!PivotTable1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for Top &amp; Bottom 10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for Top &amp; Bottom 10 Products'!$A$4:$A$14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'PT for Top &amp; Bottom 10 Products'!$B$4:$B$14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A6E3-4769-A916-C742E7CC7871}"/>
            </c:ext>
          </c:extLst>
        </c:ser>
        <c:dLbls>
          <c:dLblPos val="outEnd"/>
          <c:showLegendKey val="0"/>
          <c:showVal val="1"/>
          <c:showCatName val="0"/>
          <c:showSerName val="0"/>
          <c:showPercent val="0"/>
          <c:showBubbleSize val="0"/>
        </c:dLbls>
        <c:gapWidth val="182"/>
        <c:axId val="867786832"/>
        <c:axId val="867803632"/>
      </c:barChart>
      <c:catAx>
        <c:axId val="86778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03632"/>
        <c:crosses val="autoZero"/>
        <c:auto val="1"/>
        <c:lblAlgn val="ctr"/>
        <c:lblOffset val="100"/>
        <c:noMultiLvlLbl val="0"/>
      </c:catAx>
      <c:valAx>
        <c:axId val="867803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2E7E138-4FCF-4BC6-9486-9247120D54C4}">
  <sheetPr/>
  <sheetViews>
    <sheetView zoomScale="61"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3B5EECC-A0DC-4828-B27A-962556279ADF}">
  <sheetPr/>
  <sheetViews>
    <sheetView zoomScale="6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317500</xdr:colOff>
      <xdr:row>0</xdr:row>
      <xdr:rowOff>25400</xdr:rowOff>
    </xdr:from>
    <xdr:to>
      <xdr:col>5</xdr:col>
      <xdr:colOff>546100</xdr:colOff>
      <xdr:row>4</xdr:row>
      <xdr:rowOff>6350</xdr:rowOff>
    </xdr:to>
    <xdr:pic>
      <xdr:nvPicPr>
        <xdr:cNvPr id="2" name="Picture 1" descr="Jumia Logo Download png">
          <a:extLst>
            <a:ext uri="{FF2B5EF4-FFF2-40B4-BE49-F238E27FC236}">
              <a16:creationId xmlns:a16="http://schemas.microsoft.com/office/drawing/2014/main" id="{9258E3E3-6AA9-42A3-94C0-167CB2D6C3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0" y="25400"/>
          <a:ext cx="3276600"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127000</xdr:colOff>
      <xdr:row>0</xdr:row>
      <xdr:rowOff>165100</xdr:rowOff>
    </xdr:from>
    <xdr:to>
      <xdr:col>19</xdr:col>
      <xdr:colOff>304800</xdr:colOff>
      <xdr:row>3</xdr:row>
      <xdr:rowOff>190500</xdr:rowOff>
    </xdr:to>
    <xdr:sp macro="" textlink="">
      <xdr:nvSpPr>
        <xdr:cNvPr id="3" name="Rectangle: Rounded Corners 2">
          <a:extLst>
            <a:ext uri="{FF2B5EF4-FFF2-40B4-BE49-F238E27FC236}">
              <a16:creationId xmlns:a16="http://schemas.microsoft.com/office/drawing/2014/main" id="{036B8F3D-468B-6598-33F4-16688005A1AB}"/>
            </a:ext>
          </a:extLst>
        </xdr:cNvPr>
        <xdr:cNvSpPr/>
      </xdr:nvSpPr>
      <xdr:spPr>
        <a:xfrm>
          <a:off x="3784600" y="165100"/>
          <a:ext cx="8102600" cy="63500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rgbClr val="C00000"/>
              </a:solidFill>
            </a:rPr>
            <a:t>Products Perfomance Dashboard</a:t>
          </a:r>
        </a:p>
      </xdr:txBody>
    </xdr:sp>
    <xdr:clientData/>
  </xdr:twoCellAnchor>
  <xdr:twoCellAnchor>
    <xdr:from>
      <xdr:col>3</xdr:col>
      <xdr:colOff>184150</xdr:colOff>
      <xdr:row>4</xdr:row>
      <xdr:rowOff>177800</xdr:rowOff>
    </xdr:from>
    <xdr:to>
      <xdr:col>5</xdr:col>
      <xdr:colOff>438150</xdr:colOff>
      <xdr:row>8</xdr:row>
      <xdr:rowOff>165100</xdr:rowOff>
    </xdr:to>
    <xdr:sp macro="" textlink="">
      <xdr:nvSpPr>
        <xdr:cNvPr id="4" name="Rectangle: Rounded Corners 3">
          <a:extLst>
            <a:ext uri="{FF2B5EF4-FFF2-40B4-BE49-F238E27FC236}">
              <a16:creationId xmlns:a16="http://schemas.microsoft.com/office/drawing/2014/main" id="{7794F717-7734-66C6-B897-7CE433CF2B5F}"/>
            </a:ext>
          </a:extLst>
        </xdr:cNvPr>
        <xdr:cNvSpPr/>
      </xdr:nvSpPr>
      <xdr:spPr>
        <a:xfrm>
          <a:off x="2012950" y="990600"/>
          <a:ext cx="14732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00000"/>
              </a:solidFill>
            </a:rPr>
            <a:t>Total Products</a:t>
          </a:r>
        </a:p>
        <a:p>
          <a:pPr algn="ctr"/>
          <a:r>
            <a:rPr lang="en-US" sz="1600" b="1">
              <a:solidFill>
                <a:srgbClr val="C00000"/>
              </a:solidFill>
            </a:rPr>
            <a:t>112</a:t>
          </a:r>
        </a:p>
      </xdr:txBody>
    </xdr:sp>
    <xdr:clientData/>
  </xdr:twoCellAnchor>
  <xdr:twoCellAnchor>
    <xdr:from>
      <xdr:col>6</xdr:col>
      <xdr:colOff>19050</xdr:colOff>
      <xdr:row>4</xdr:row>
      <xdr:rowOff>171450</xdr:rowOff>
    </xdr:from>
    <xdr:to>
      <xdr:col>8</xdr:col>
      <xdr:colOff>304800</xdr:colOff>
      <xdr:row>8</xdr:row>
      <xdr:rowOff>127000</xdr:rowOff>
    </xdr:to>
    <xdr:sp macro="" textlink="">
      <xdr:nvSpPr>
        <xdr:cNvPr id="5" name="Rectangle: Rounded Corners 4">
          <a:extLst>
            <a:ext uri="{FF2B5EF4-FFF2-40B4-BE49-F238E27FC236}">
              <a16:creationId xmlns:a16="http://schemas.microsoft.com/office/drawing/2014/main" id="{77AEDDCA-DDEB-46B5-AF0B-AF33B5B15819}"/>
            </a:ext>
          </a:extLst>
        </xdr:cNvPr>
        <xdr:cNvSpPr/>
      </xdr:nvSpPr>
      <xdr:spPr>
        <a:xfrm>
          <a:off x="3676650" y="984250"/>
          <a:ext cx="1504950" cy="768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00000"/>
              </a:solidFill>
            </a:rPr>
            <a:t>Average Rating</a:t>
          </a:r>
        </a:p>
        <a:p>
          <a:pPr algn="ctr"/>
          <a:r>
            <a:rPr lang="en-US" sz="1600" b="1">
              <a:solidFill>
                <a:srgbClr val="C00000"/>
              </a:solidFill>
            </a:rPr>
            <a:t>3.9</a:t>
          </a:r>
        </a:p>
      </xdr:txBody>
    </xdr:sp>
    <xdr:clientData/>
  </xdr:twoCellAnchor>
  <xdr:twoCellAnchor>
    <xdr:from>
      <xdr:col>11</xdr:col>
      <xdr:colOff>520700</xdr:colOff>
      <xdr:row>4</xdr:row>
      <xdr:rowOff>146050</xdr:rowOff>
    </xdr:from>
    <xdr:to>
      <xdr:col>14</xdr:col>
      <xdr:colOff>406400</xdr:colOff>
      <xdr:row>8</xdr:row>
      <xdr:rowOff>88900</xdr:rowOff>
    </xdr:to>
    <xdr:sp macro="" textlink="">
      <xdr:nvSpPr>
        <xdr:cNvPr id="6" name="Rectangle: Rounded Corners 5">
          <a:extLst>
            <a:ext uri="{FF2B5EF4-FFF2-40B4-BE49-F238E27FC236}">
              <a16:creationId xmlns:a16="http://schemas.microsoft.com/office/drawing/2014/main" id="{6D485C2C-9080-40A1-8E39-E812974B4629}"/>
            </a:ext>
          </a:extLst>
        </xdr:cNvPr>
        <xdr:cNvSpPr/>
      </xdr:nvSpPr>
      <xdr:spPr>
        <a:xfrm>
          <a:off x="7226300" y="958850"/>
          <a:ext cx="1714500" cy="755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00000"/>
              </a:solidFill>
            </a:rPr>
            <a:t>Total Reviews</a:t>
          </a:r>
        </a:p>
        <a:p>
          <a:pPr algn="ctr"/>
          <a:r>
            <a:rPr lang="en-US" sz="1600" b="1">
              <a:solidFill>
                <a:srgbClr val="C00000"/>
              </a:solidFill>
            </a:rPr>
            <a:t>723</a:t>
          </a:r>
        </a:p>
      </xdr:txBody>
    </xdr:sp>
    <xdr:clientData/>
  </xdr:twoCellAnchor>
  <xdr:twoCellAnchor>
    <xdr:from>
      <xdr:col>8</xdr:col>
      <xdr:colOff>476250</xdr:colOff>
      <xdr:row>4</xdr:row>
      <xdr:rowOff>158750</xdr:rowOff>
    </xdr:from>
    <xdr:to>
      <xdr:col>11</xdr:col>
      <xdr:colOff>406400</xdr:colOff>
      <xdr:row>8</xdr:row>
      <xdr:rowOff>107950</xdr:rowOff>
    </xdr:to>
    <xdr:sp macro="" textlink="">
      <xdr:nvSpPr>
        <xdr:cNvPr id="7" name="Rectangle: Rounded Corners 6">
          <a:extLst>
            <a:ext uri="{FF2B5EF4-FFF2-40B4-BE49-F238E27FC236}">
              <a16:creationId xmlns:a16="http://schemas.microsoft.com/office/drawing/2014/main" id="{1105E2C1-5533-4F00-9DC5-9D5274F1AEC7}"/>
            </a:ext>
          </a:extLst>
        </xdr:cNvPr>
        <xdr:cNvSpPr/>
      </xdr:nvSpPr>
      <xdr:spPr>
        <a:xfrm>
          <a:off x="5353050" y="971550"/>
          <a:ext cx="175895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00000"/>
              </a:solidFill>
            </a:rPr>
            <a:t>Average Discount </a:t>
          </a:r>
        </a:p>
        <a:p>
          <a:pPr algn="ctr"/>
          <a:r>
            <a:rPr lang="en-US" sz="1600" b="1">
              <a:solidFill>
                <a:srgbClr val="C00000"/>
              </a:solidFill>
            </a:rPr>
            <a:t>37</a:t>
          </a:r>
          <a:r>
            <a:rPr lang="en-US" sz="1600" b="1">
              <a:solidFill>
                <a:srgbClr val="C00000"/>
              </a:solidFill>
              <a:effectLst/>
              <a:latin typeface="+mn-lt"/>
              <a:ea typeface="+mn-ea"/>
              <a:cs typeface="+mn-cs"/>
            </a:rPr>
            <a:t>%</a:t>
          </a:r>
          <a:endParaRPr lang="en-US" sz="1600" b="1">
            <a:solidFill>
              <a:srgbClr val="C00000"/>
            </a:solidFill>
          </a:endParaRPr>
        </a:p>
      </xdr:txBody>
    </xdr:sp>
    <xdr:clientData/>
  </xdr:twoCellAnchor>
  <xdr:twoCellAnchor>
    <xdr:from>
      <xdr:col>14</xdr:col>
      <xdr:colOff>558800</xdr:colOff>
      <xdr:row>4</xdr:row>
      <xdr:rowOff>152400</xdr:rowOff>
    </xdr:from>
    <xdr:to>
      <xdr:col>19</xdr:col>
      <xdr:colOff>298450</xdr:colOff>
      <xdr:row>8</xdr:row>
      <xdr:rowOff>107950</xdr:rowOff>
    </xdr:to>
    <xdr:sp macro="" textlink="">
      <xdr:nvSpPr>
        <xdr:cNvPr id="8" name="Rectangle: Rounded Corners 7">
          <a:extLst>
            <a:ext uri="{FF2B5EF4-FFF2-40B4-BE49-F238E27FC236}">
              <a16:creationId xmlns:a16="http://schemas.microsoft.com/office/drawing/2014/main" id="{792A3313-E43F-4CAC-962F-47187D98D2AC}"/>
            </a:ext>
          </a:extLst>
        </xdr:cNvPr>
        <xdr:cNvSpPr/>
      </xdr:nvSpPr>
      <xdr:spPr>
        <a:xfrm>
          <a:off x="9093200" y="965200"/>
          <a:ext cx="2787650" cy="768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00000"/>
              </a:solidFill>
            </a:rPr>
            <a:t>Number</a:t>
          </a:r>
          <a:r>
            <a:rPr lang="en-US" sz="1600" b="1" baseline="0">
              <a:solidFill>
                <a:srgbClr val="C00000"/>
              </a:solidFill>
            </a:rPr>
            <a:t> </a:t>
          </a:r>
          <a:r>
            <a:rPr lang="en-US" sz="1600" b="1">
              <a:solidFill>
                <a:srgbClr val="C00000"/>
              </a:solidFill>
            </a:rPr>
            <a:t>of Products Reviewed </a:t>
          </a:r>
        </a:p>
        <a:p>
          <a:pPr algn="ctr"/>
          <a:r>
            <a:rPr lang="en-US" sz="1600" b="1">
              <a:solidFill>
                <a:srgbClr val="C00000"/>
              </a:solidFill>
            </a:rPr>
            <a:t>57</a:t>
          </a:r>
        </a:p>
      </xdr:txBody>
    </xdr:sp>
    <xdr:clientData/>
  </xdr:twoCellAnchor>
  <xdr:twoCellAnchor>
    <xdr:from>
      <xdr:col>3</xdr:col>
      <xdr:colOff>19050</xdr:colOff>
      <xdr:row>9</xdr:row>
      <xdr:rowOff>69850</xdr:rowOff>
    </xdr:from>
    <xdr:to>
      <xdr:col>8</xdr:col>
      <xdr:colOff>514350</xdr:colOff>
      <xdr:row>20</xdr:row>
      <xdr:rowOff>38100</xdr:rowOff>
    </xdr:to>
    <xdr:graphicFrame macro="">
      <xdr:nvGraphicFramePr>
        <xdr:cNvPr id="32" name="Chart 31">
          <a:extLst>
            <a:ext uri="{FF2B5EF4-FFF2-40B4-BE49-F238E27FC236}">
              <a16:creationId xmlns:a16="http://schemas.microsoft.com/office/drawing/2014/main" id="{6CDC4451-1F5A-4586-B68A-9A7C1455C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8756650" y="1898650"/>
    <xdr:ext cx="3219450" cy="2184399"/>
    <xdr:graphicFrame macro="">
      <xdr:nvGraphicFramePr>
        <xdr:cNvPr id="33" name="Chart 32">
          <a:extLst>
            <a:ext uri="{FF2B5EF4-FFF2-40B4-BE49-F238E27FC236}">
              <a16:creationId xmlns:a16="http://schemas.microsoft.com/office/drawing/2014/main" id="{EEEC146A-65C5-4308-94F2-262400BB1F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xdr:from>
      <xdr:col>8</xdr:col>
      <xdr:colOff>581025</xdr:colOff>
      <xdr:row>9</xdr:row>
      <xdr:rowOff>69850</xdr:rowOff>
    </xdr:from>
    <xdr:to>
      <xdr:col>14</xdr:col>
      <xdr:colOff>193675</xdr:colOff>
      <xdr:row>20</xdr:row>
      <xdr:rowOff>38100</xdr:rowOff>
    </xdr:to>
    <xdr:graphicFrame macro="">
      <xdr:nvGraphicFramePr>
        <xdr:cNvPr id="34" name="Chart 33">
          <a:extLst>
            <a:ext uri="{FF2B5EF4-FFF2-40B4-BE49-F238E27FC236}">
              <a16:creationId xmlns:a16="http://schemas.microsoft.com/office/drawing/2014/main" id="{C4B03F58-A2DA-4A34-93D9-40FF61E18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20</xdr:row>
      <xdr:rowOff>101600</xdr:rowOff>
    </xdr:from>
    <xdr:to>
      <xdr:col>8</xdr:col>
      <xdr:colOff>520700</xdr:colOff>
      <xdr:row>30</xdr:row>
      <xdr:rowOff>19050</xdr:rowOff>
    </xdr:to>
    <xdr:graphicFrame macro="">
      <xdr:nvGraphicFramePr>
        <xdr:cNvPr id="35" name="Chart 34">
          <a:extLst>
            <a:ext uri="{FF2B5EF4-FFF2-40B4-BE49-F238E27FC236}">
              <a16:creationId xmlns:a16="http://schemas.microsoft.com/office/drawing/2014/main" id="{34A7F9BA-2BF5-4B15-875B-E0B93FD4C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absoluteAnchor>
    <xdr:pos x="8756650" y="4140201"/>
    <xdr:ext cx="3219450" cy="1968499"/>
    <xdr:graphicFrame macro="">
      <xdr:nvGraphicFramePr>
        <xdr:cNvPr id="36" name="Chart 35">
          <a:extLst>
            <a:ext uri="{FF2B5EF4-FFF2-40B4-BE49-F238E27FC236}">
              <a16:creationId xmlns:a16="http://schemas.microsoft.com/office/drawing/2014/main" id="{1847F865-B4A3-4E4F-88AB-61344F0C801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twoCellAnchor>
    <xdr:from>
      <xdr:col>12</xdr:col>
      <xdr:colOff>0</xdr:colOff>
      <xdr:row>49</xdr:row>
      <xdr:rowOff>0</xdr:rowOff>
    </xdr:from>
    <xdr:to>
      <xdr:col>19</xdr:col>
      <xdr:colOff>304800</xdr:colOff>
      <xdr:row>62</xdr:row>
      <xdr:rowOff>101600</xdr:rowOff>
    </xdr:to>
    <xdr:graphicFrame macro="">
      <xdr:nvGraphicFramePr>
        <xdr:cNvPr id="37" name="Chart 36">
          <a:extLst>
            <a:ext uri="{FF2B5EF4-FFF2-40B4-BE49-F238E27FC236}">
              <a16:creationId xmlns:a16="http://schemas.microsoft.com/office/drawing/2014/main" id="{D61F3E31-BEA3-4385-96BE-91CF4FDBD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571500</xdr:colOff>
      <xdr:row>20</xdr:row>
      <xdr:rowOff>82550</xdr:rowOff>
    </xdr:from>
    <xdr:to>
      <xdr:col>14</xdr:col>
      <xdr:colOff>203200</xdr:colOff>
      <xdr:row>30</xdr:row>
      <xdr:rowOff>0</xdr:rowOff>
    </xdr:to>
    <xdr:graphicFrame macro="">
      <xdr:nvGraphicFramePr>
        <xdr:cNvPr id="38" name="Chart 37">
          <a:extLst>
            <a:ext uri="{FF2B5EF4-FFF2-40B4-BE49-F238E27FC236}">
              <a16:creationId xmlns:a16="http://schemas.microsoft.com/office/drawing/2014/main" id="{9421D8CA-DBC9-4E09-8936-C53268278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15</xdr:row>
      <xdr:rowOff>120650</xdr:rowOff>
    </xdr:from>
    <xdr:to>
      <xdr:col>3</xdr:col>
      <xdr:colOff>0</xdr:colOff>
      <xdr:row>21</xdr:row>
      <xdr:rowOff>114300</xdr:rowOff>
    </xdr:to>
    <mc:AlternateContent xmlns:mc="http://schemas.openxmlformats.org/markup-compatibility/2006">
      <mc:Choice xmlns:a14="http://schemas.microsoft.com/office/drawing/2010/main" Requires="a14">
        <xdr:graphicFrame macro="">
          <xdr:nvGraphicFramePr>
            <xdr:cNvPr id="39" name="Discount Category 1">
              <a:extLst>
                <a:ext uri="{FF2B5EF4-FFF2-40B4-BE49-F238E27FC236}">
                  <a16:creationId xmlns:a16="http://schemas.microsoft.com/office/drawing/2014/main" id="{C7F9F739-5C46-40EF-AE47-CCA0C189D0D0}"/>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0" y="3168650"/>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82550</xdr:rowOff>
    </xdr:from>
    <xdr:to>
      <xdr:col>3</xdr:col>
      <xdr:colOff>0</xdr:colOff>
      <xdr:row>30</xdr:row>
      <xdr:rowOff>38100</xdr:rowOff>
    </xdr:to>
    <mc:AlternateContent xmlns:mc="http://schemas.openxmlformats.org/markup-compatibility/2006">
      <mc:Choice xmlns:a14="http://schemas.microsoft.com/office/drawing/2010/main" Requires="a14">
        <xdr:graphicFrame macro="">
          <xdr:nvGraphicFramePr>
            <xdr:cNvPr id="40" name="Rating Category 1">
              <a:extLst>
                <a:ext uri="{FF2B5EF4-FFF2-40B4-BE49-F238E27FC236}">
                  <a16:creationId xmlns:a16="http://schemas.microsoft.com/office/drawing/2014/main" id="{DE4E7737-043F-48E2-9188-5E4DF6213AFE}"/>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0" y="4349750"/>
              <a:ext cx="1828800" cy="178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50800</xdr:rowOff>
    </xdr:from>
    <xdr:to>
      <xdr:col>3</xdr:col>
      <xdr:colOff>0</xdr:colOff>
      <xdr:row>15</xdr:row>
      <xdr:rowOff>82550</xdr:rowOff>
    </xdr:to>
    <mc:AlternateContent xmlns:mc="http://schemas.openxmlformats.org/markup-compatibility/2006">
      <mc:Choice xmlns:a14="http://schemas.microsoft.com/office/drawing/2010/main" Requires="a14">
        <xdr:graphicFrame macro="">
          <xdr:nvGraphicFramePr>
            <xdr:cNvPr id="41" name="Product Category 1">
              <a:extLst>
                <a:ext uri="{FF2B5EF4-FFF2-40B4-BE49-F238E27FC236}">
                  <a16:creationId xmlns:a16="http://schemas.microsoft.com/office/drawing/2014/main" id="{3B8D5EE5-547B-4AD4-96DA-B771480C566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0" y="863600"/>
              <a:ext cx="1828800" cy="226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8660984" cy="6287541"/>
    <xdr:graphicFrame macro="">
      <xdr:nvGraphicFramePr>
        <xdr:cNvPr id="2" name="Chart 1">
          <a:extLst>
            <a:ext uri="{FF2B5EF4-FFF2-40B4-BE49-F238E27FC236}">
              <a16:creationId xmlns:a16="http://schemas.microsoft.com/office/drawing/2014/main" id="{23EB97EC-F933-A28A-7D96-9916064045D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0984" cy="6287541"/>
    <xdr:graphicFrame macro="">
      <xdr:nvGraphicFramePr>
        <xdr:cNvPr id="2" name="Chart 1">
          <a:extLst>
            <a:ext uri="{FF2B5EF4-FFF2-40B4-BE49-F238E27FC236}">
              <a16:creationId xmlns:a16="http://schemas.microsoft.com/office/drawing/2014/main" id="{F4B494B9-1CDF-4AF8-2D5A-D7681995D1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xdr:from>
      <xdr:col>4</xdr:col>
      <xdr:colOff>285750</xdr:colOff>
      <xdr:row>1</xdr:row>
      <xdr:rowOff>171450</xdr:rowOff>
    </xdr:from>
    <xdr:to>
      <xdr:col>11</xdr:col>
      <xdr:colOff>590550</xdr:colOff>
      <xdr:row>16</xdr:row>
      <xdr:rowOff>152400</xdr:rowOff>
    </xdr:to>
    <xdr:graphicFrame macro="">
      <xdr:nvGraphicFramePr>
        <xdr:cNvPr id="2" name="Chart 1">
          <a:extLst>
            <a:ext uri="{FF2B5EF4-FFF2-40B4-BE49-F238E27FC236}">
              <a16:creationId xmlns:a16="http://schemas.microsoft.com/office/drawing/2014/main" id="{F06A34D2-EC88-BA61-10C9-FA7B17B6E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xdr:colOff>
      <xdr:row>14</xdr:row>
      <xdr:rowOff>95250</xdr:rowOff>
    </xdr:from>
    <xdr:to>
      <xdr:col>0</xdr:col>
      <xdr:colOff>1885950</xdr:colOff>
      <xdr:row>28</xdr:row>
      <xdr:rowOff>136522</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BF358909-EEC5-9EF3-2313-5445F261445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7150" y="2673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101600</xdr:colOff>
      <xdr:row>5</xdr:row>
      <xdr:rowOff>6350</xdr:rowOff>
    </xdr:from>
    <xdr:to>
      <xdr:col>19</xdr:col>
      <xdr:colOff>101600</xdr:colOff>
      <xdr:row>11</xdr:row>
      <xdr:rowOff>114300</xdr:rowOff>
    </xdr:to>
    <mc:AlternateContent xmlns:mc="http://schemas.openxmlformats.org/markup-compatibility/2006">
      <mc:Choice xmlns:a14="http://schemas.microsoft.com/office/drawing/2010/main" Requires="a14">
        <xdr:graphicFrame macro="">
          <xdr:nvGraphicFramePr>
            <xdr:cNvPr id="4" name="Discount Category">
              <a:extLst>
                <a:ext uri="{FF2B5EF4-FFF2-40B4-BE49-F238E27FC236}">
                  <a16:creationId xmlns:a16="http://schemas.microsoft.com/office/drawing/2014/main" id="{1EEF0781-A59E-213E-8CFB-367D8847B76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13754100" y="927100"/>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488950</xdr:colOff>
      <xdr:row>4</xdr:row>
      <xdr:rowOff>95250</xdr:rowOff>
    </xdr:from>
    <xdr:to>
      <xdr:col>15</xdr:col>
      <xdr:colOff>488950</xdr:colOff>
      <xdr:row>14</xdr:row>
      <xdr:rowOff>38100</xdr:rowOff>
    </xdr:to>
    <mc:AlternateContent xmlns:mc="http://schemas.openxmlformats.org/markup-compatibility/2006">
      <mc:Choice xmlns:a14="http://schemas.microsoft.com/office/drawing/2010/main" Requires="a14">
        <xdr:graphicFrame macro="">
          <xdr:nvGraphicFramePr>
            <xdr:cNvPr id="5" name="Rating Category">
              <a:extLst>
                <a:ext uri="{FF2B5EF4-FFF2-40B4-BE49-F238E27FC236}">
                  <a16:creationId xmlns:a16="http://schemas.microsoft.com/office/drawing/2014/main" id="{41961026-4E1F-209A-71ED-66C1E881153F}"/>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11703050" y="831850"/>
              <a:ext cx="1828800" cy="178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596900</xdr:colOff>
      <xdr:row>1</xdr:row>
      <xdr:rowOff>38100</xdr:rowOff>
    </xdr:from>
    <xdr:to>
      <xdr:col>11</xdr:col>
      <xdr:colOff>292100</xdr:colOff>
      <xdr:row>16</xdr:row>
      <xdr:rowOff>19050</xdr:rowOff>
    </xdr:to>
    <xdr:graphicFrame macro="">
      <xdr:nvGraphicFramePr>
        <xdr:cNvPr id="2" name="Chart 1">
          <a:extLst>
            <a:ext uri="{FF2B5EF4-FFF2-40B4-BE49-F238E27FC236}">
              <a16:creationId xmlns:a16="http://schemas.microsoft.com/office/drawing/2014/main" id="{1744C4E7-8025-3FE3-B46D-73EC7B4CD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6350</xdr:colOff>
      <xdr:row>1</xdr:row>
      <xdr:rowOff>152400</xdr:rowOff>
    </xdr:from>
    <xdr:to>
      <xdr:col>12</xdr:col>
      <xdr:colOff>311150</xdr:colOff>
      <xdr:row>16</xdr:row>
      <xdr:rowOff>133350</xdr:rowOff>
    </xdr:to>
    <xdr:graphicFrame macro="">
      <xdr:nvGraphicFramePr>
        <xdr:cNvPr id="2" name="Chart 1">
          <a:extLst>
            <a:ext uri="{FF2B5EF4-FFF2-40B4-BE49-F238E27FC236}">
              <a16:creationId xmlns:a16="http://schemas.microsoft.com/office/drawing/2014/main" id="{0E69A702-7D74-EFA9-AA0D-0F14C9E66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63500</xdr:colOff>
      <xdr:row>1</xdr:row>
      <xdr:rowOff>177800</xdr:rowOff>
    </xdr:from>
    <xdr:to>
      <xdr:col>10</xdr:col>
      <xdr:colOff>0</xdr:colOff>
      <xdr:row>16</xdr:row>
      <xdr:rowOff>158750</xdr:rowOff>
    </xdr:to>
    <xdr:graphicFrame macro="">
      <xdr:nvGraphicFramePr>
        <xdr:cNvPr id="15" name="Chart 14">
          <a:extLst>
            <a:ext uri="{FF2B5EF4-FFF2-40B4-BE49-F238E27FC236}">
              <a16:creationId xmlns:a16="http://schemas.microsoft.com/office/drawing/2014/main" id="{02E52439-FAC0-BE57-19C1-311572571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car Mainje" refreshedDate="46182.325241666666" createdVersion="8" refreshedVersion="8" minRefreshableVersion="3" recordCount="112" xr:uid="{2C06A22B-AB93-4EE5-A090-28547CCB8B2F}">
  <cacheSource type="worksheet">
    <worksheetSource name="TableJumiaProducts"/>
  </cacheSource>
  <cacheFields count="10">
    <cacheField name="Products" numFmtId="0">
      <sharedItems count="114">
        <s v="6 In 1 Bottle Can Opener Multifunctional Easy Opener"/>
        <s v="Creative Owl Shape Keychain Black"/>
        <s v="5-PCS Stainless Steel Cooking Pot Set With Steamed Slices"/>
        <s v="LASA Folding Table Serving Stand"/>
        <s v="Simple Metal Dog Art Sculpture Decoration For Home Office"/>
        <s v="LASA 3 Tier Bamboo Shoe Bench Storage Shelf"/>
        <s v="Mythco 120COB Solar Wall Ligt With Motion Sensor And Remote Control 3 Modes"/>
        <s v="Classic Black Cat Cotton Hemp Pillow Case For Home Car"/>
        <s v="3PCS Single Head Knitting Crochet Sweater Needle Set"/>
        <s v="Intelligent LED Body Sensor Wireless Lighting Night Light USB"/>
        <s v="Exfoliate And Exfoliate Face Towel - Black"/>
        <s v="Anti-Skid Absorbent Insulation Coaster For Home Office"/>
        <s v="2PCS Ice Silk Square Cushion Cover Pillowcases - 65x65cm"/>
        <s v="380ML USB Rechargeable Portable Small Blenders And Juicers"/>
        <s v="Christmas Elk Fence Yard Lawn Decorations Cute For Holidays"/>
        <s v="Wall Clock With Hidden Safe Box"/>
        <s v="Wall-mounted Sticker Punch-free Plug Fixer"/>
        <s v="Brush &amp; Paintbrush Cleaning Tool Pink"/>
        <s v="Modern Sofa Throw Pillow Cover-45x45cm-Blue&amp;Red"/>
        <s v="LASA Aluminum Folding Truck Hand Cart - 68kg Max"/>
        <s v="3D Waterproof EVA Plastic Shower Curtain 1.8*2Mtrs"/>
        <s v="Bedroom Simple Floor Hanging Clothes Rack Single Pole Hat Rack - White"/>
        <s v="Angle Measuring Tool Full Metal Multi Angle Measuring Tool"/>
        <s v="Car Phone Charging Stand"/>
        <s v="Baby Early Education Shape And Color Cognitive Training Toys"/>
        <s v="4M Float Switch Water Level Controller -Water Tank"/>
        <s v="120W Cordless Vacuum Cleaners Handheld Electric Vacuum Cleaner"/>
        <s v="Household Pineapple Peeler Peeler"/>
        <s v="Cartoon Car Decoration Cute Individuality For Car Home Desk"/>
        <s v="4 Piece Coloured Stainless Steel Kitchenware Set"/>
        <s v="7PCS Silicone Thumb Knife Finger Protector Vegetable Harvesting Knife"/>
        <s v="LED Eye Protection Desk Lamp , Study, Reading, USB Fan - Double Pen Holder"/>
        <s v="Portable Wine Table With Folding Round Table"/>
        <s v="Christmas Fence Garden Decorations Outdoor For Holiday Home"/>
        <s v="Sewing Machine Needle Threader Stitch Insertion Tool Automatic Quick Sewing"/>
        <s v="Electric LED UV Mosquito Killer Lamp, Outdoor/Indoor Fly Killer Trap Light -USB"/>
        <s v="7-piece Set Of Storage Bags, Travel Storage Bags, Shoe Bags"/>
        <s v="6 Layers Steel Pipe Assembling Dustproof Storage Shoe Cabinet"/>
        <s v="2PCS/LOT Solar LED Outdoor Intelligent Light Controlled Wall Lamp"/>
        <s v="40cm Gold DIY Acrylic Wall Sticker Clock"/>
        <s v="Metal Decorative Hooks Key Hangers Entryway Wall Hooks Towel Hooks - Home"/>
        <s v="Black Simple Water Cup Wine Coaster Anti Slip Absorbent"/>
        <s v="MultiFunctional Storage Rack Multi-layer Booelf"/>
        <s v="Memory Foam Neck Pillow Cover, With Pillow Core - 50*30cm"/>
        <s v="Peacock Throw Pillow Cushion Case For Home Car"/>
        <s v="13 In 1 Home Repair Tools Box Kit Set"/>
        <s v="Artificial Potted Flowers Room Decorative Flowers (2 Pieces)"/>
        <s v="Agapeon Toothbrush Holder And Toothpaste Dispenser"/>
        <s v="3PCS Rotary Scraper Thermomix For Kitchen"/>
        <s v="Multifunctional Hanging Storage Box Storage Bag (4 Layers)"/>
        <s v="Wrought Iron Bathroom Shelf Wall Mounted Free Punch Toilet Rack"/>
        <s v="Watercolour Gold Foil Textured Print Pillow Cover"/>
        <s v="4pcs Bathroom/Kitchen Towel Rack,Roll Paper Holder,Towel Bars,Hook"/>
        <s v="8in1 Screwdriver With LED Light"/>
        <s v="Balloon Insert, Birthday Party Balloon Set, PU Leather"/>
        <s v="LASA Digital Thermometer And Hydrometer"/>
        <s v="9pcs Gas Mask, For Painting, Dust, Formaldehyde Grinding, Polishing"/>
        <s v="Cute Christmas Fence Garden Decorations For Holiday Home"/>
        <s v="Punch-free Great Load Bearing Bathroom Storage Rack Wall Shelf-White"/>
        <s v="DIY File Folder, Office Drawer File Holder, Pen Holder, Desktop Storage Rack"/>
        <s v="32PCS Portable Cordless Drill Set With Cyclic Battery Drive -26 Variable Speed"/>
        <s v="LASA Stainless Steel Double Wall Mount Soap Dispenser - 500ml"/>
        <s v="1/2/3 Seater Elastic Sofa Cover,Living Room/Home Decor Chair Cover-Grey"/>
        <s v="2pcs Solar Street Light Flood Light Outdoor"/>
        <s v="115 Piece Set Of Multifunctional Precision Screwdrivers"/>
        <s v="Weighing Scale Digital Bathroom Body Fat Scale USB-Black"/>
        <s v="Desk Foldable Fan Adjustable Fan Strong Wind 3 Gear Usb"/>
        <s v="5m Waterproof Spherical LED String Lights Outdoor Ball Chain Lights Party Lighting Decoration Adjustable"/>
        <s v="LED Romantic Spaceship Starry Sky Projector,Children's Bedroom Night Light-Blue"/>
        <s v="Electronic Digital Display Vernier Caliper"/>
        <s v="Cartoon Embroidered Mini Towel Bear Cotton Wash Cloth Hand 4pcs"/>
        <s v="LED Solar Street Light-fake Camera"/>
        <s v="100 Pcs Crochet Hook Tool Set Knitting Hook Set With Box"/>
        <s v="12 Litre Insulated Lunch Box Grey"/>
        <s v="Multifunction Laser Level With Adjustment Tripod"/>
        <s v="60W Hot Melt Glue Sprayer - Efficient And Stable Glue Dispensing"/>
        <s v="12 Litre Black Insulated Lunch Box"/>
        <s v="52 Pieces Cake Decorating Tool Set Gift Kit Baking Supplies"/>
        <s v="Large Lazy Inflatable Sofa Chairs PVC Lounger Seat Bag"/>
        <s v="12V 19500rpm Handheld Electric Angle Grinder Tool - UK - Yellow/Black"/>
        <s v="53 Pieces/Set Yarn Knitting Crochet Hooks With Bag - Pansies"/>
        <s v="53Pcs/Set Yarn Knitting Crochet Hooks With Bag - Fortune Cat"/>
        <s v="Portable Home Small Air Humidifier 3-Speed Fan - Green"/>
        <s v="Portable Mini Cordless Car Vacuum Cleaner - Blue"/>
        <s v="137 Pieces Cake Decorating Tool Set Baking Supplies"/>
        <s v="1PC Refrigerator Food Seal Pocket Fridge Bags"/>
        <s v="Foldable Overbed Table/Desk"/>
        <s v="VIC Wireless Vacuum Cleaner Dual Use For Home And Car 120W High Power Powerful"/>
        <s v="Pilates Cloth Bag Waterproof Durable High Capacity Purple"/>
        <s v="Konka Healty Electric Kettle, 24-hour Heat Preservation,1.5L,800W, White"/>
        <s v="Genebre 115 In 1 Screwdriver Repairing Tool Set For IPhone Cellphone Hand Tool"/>
        <s v="LED Wall Digital Alarm Clock Study Home 12 / 24H Clock Calendar"/>
        <s v="Portable Wardrobe Nonwoven With 3 Hanging Rods And 6 Storage Shelves"/>
        <s v="Wall-Mounted Toothbrush Toothpaste Holder With Multiple Slots"/>
        <s v="Office Chair Lumbar Back Support Spine Posture Correction Pillow Car Cushion"/>
        <s v="5 Pieces/set Of Stainless Steel Induction Cooker Pots"/>
        <s v="Outdoor Portable Water Bottle With Medicine Box - 600ML - Black"/>
        <s v="220V 60W Electric Soldering Iron Kits With Tools, Tips, And Multimeter"/>
        <s v="Wall Mount Automatic Toothpaste Dispenser Toothbrush Holder Toothpaste Squeezer"/>
        <s v="Metal Wall Clock Silver Dial Crystal Jewelry Round Home Decoration Wall Clock"/>
        <s v="Cushion Silicone Butt Cushion Summer Ice Cushion Honeycomb Gel Cushion"/>
        <s v="Multi-purpose Rice Drainage Basket And Fruit And Vegetable Drainage Sieve"/>
        <s v="Shower Cap Wide Elastic Band Cover Reusable Bashroom Cap"/>
        <s v="Thickening Multipurpose Non Stick Easy To Clean Heat Resistant Spoon Pad"/>
        <s v="2 Pairs Cowhide Split Leather Work Gloves.32â„‰ Or Above Welding Gloves"/>
        <s v="Pen Grips For Kids Pen Grip Posture Correction Tool For Kids"/>
        <s v="Shower Nozzle Cleaning Unclogging Needle Mini Crevice Small Hole Cleaning Brush"/>
        <s v="Portable Soap Dispenser Kitchen Detergent Press Box Kitchen Tools"/>
        <s v="24 Grid Wall-mounted Sundries Organiser Fabric Closet Bag Storage Rack"/>
        <s v="Intelligent  LED Body Sensor Wireless Lighting Night Light USB" u="1"/>
        <s v="Anti-Skid Absorbent Insulation Coaster  For Home Office" u="1"/>
        <s v="LED Eye Protection  Desk Lamp , Study, Reading, USB Fan - Double Pen Holder" u="1"/>
        <s v="Peacock  Throw Pillow Cushion Case For Home Car" u="1"/>
        <s v="115  Piece Set Of Multifunctional Precision Screwdrivers" u="1"/>
      </sharedItems>
    </cacheField>
    <cacheField name="Product Category" numFmtId="0">
      <sharedItems count="8">
        <s v="Kitchen &amp; Dining"/>
        <s v="Home &amp; Office"/>
        <s v="Garden &amp; Outdoors"/>
        <s v="Clothing"/>
        <s v="Appliances"/>
        <s v="Health &amp; Beauty"/>
        <s v="Beddings &amp; Sanitary"/>
        <s v="Baby Products"/>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Absolute Discount" numFmtId="1">
      <sharedItems containsSemiMixedTypes="0" containsString="0" containsNumber="1" containsInteger="1" minValue="24" maxValue="2585"/>
    </cacheField>
    <cacheField name="Discount" numFmtId="9">
      <sharedItems containsSemiMixedTypes="0" containsString="0" containsNumber="1" minValue="0.01" maxValue="0.64" count="46">
        <n v="0.64"/>
        <n v="0.61"/>
        <n v="0.55000000000000004"/>
        <n v="0.54"/>
        <n v="0.53"/>
        <n v="0.52"/>
        <n v="0.51"/>
        <n v="0.5"/>
        <n v="0.49"/>
        <n v="0.48"/>
        <n v="0.47"/>
        <n v="0.46"/>
        <n v="0.45"/>
        <n v="0.43"/>
        <n v="0.42"/>
        <n v="0.41"/>
        <n v="0.4"/>
        <n v="0.39"/>
        <n v="0.38"/>
        <n v="0.37"/>
        <n v="0.36"/>
        <n v="0.35"/>
        <n v="0.34"/>
        <n v="0.33"/>
        <n v="0.32"/>
        <n v="0.3"/>
        <n v="0.28999999999999998"/>
        <n v="0.27"/>
        <n v="0.26"/>
        <n v="0.25"/>
        <n v="0.24"/>
        <n v="0.23"/>
        <n v="0.22"/>
        <n v="0.21"/>
        <n v="0.2"/>
        <n v="0.19"/>
        <n v="0.18"/>
        <n v="0.14000000000000001"/>
        <n v="0.13"/>
        <n v="0.11"/>
        <n v="0.09"/>
        <n v="0.08"/>
        <n v="0.04"/>
        <n v="0.03"/>
        <n v="0.02"/>
        <n v="0.01"/>
      </sharedItems>
    </cacheField>
    <cacheField name="Discount Category" numFmtId="9">
      <sharedItems count="3">
        <s v="High Discount"/>
        <s v="Medium Discount"/>
        <s v="Low Discount"/>
      </sharedItems>
    </cacheField>
    <cacheField name="Reviews" numFmtId="0">
      <sharedItems containsString="0" containsBlank="1" containsNumber="1" containsInteger="1" minValue="1" maxValue="69" count="24">
        <m/>
        <n v="13"/>
        <n v="5"/>
        <n v="7"/>
        <n v="10"/>
        <n v="2"/>
        <n v="15"/>
        <n v="9"/>
        <n v="1"/>
        <n v="3"/>
        <n v="44"/>
        <n v="69"/>
        <n v="6"/>
        <n v="12"/>
        <n v="14"/>
        <n v="17"/>
        <n v="36"/>
        <n v="49"/>
        <n v="39"/>
        <n v="20"/>
        <n v="32"/>
        <n v="24"/>
        <n v="55"/>
        <n v="16"/>
      </sharedItems>
    </cacheField>
    <cacheField name="Rating" numFmtId="0">
      <sharedItems containsString="0" containsBlank="1" containsNumber="1" minValue="2" maxValue="5" count="23">
        <m/>
        <n v="2.1"/>
        <n v="4.8"/>
        <n v="4.3"/>
        <n v="3"/>
        <n v="5"/>
        <n v="3.3"/>
        <n v="2.7"/>
        <n v="2.2999999999999998"/>
        <n v="2"/>
        <n v="4.5999999999999996"/>
        <n v="2.8"/>
        <n v="4"/>
        <n v="2.2000000000000002"/>
        <n v="4.0999999999999996"/>
        <n v="3.8"/>
        <n v="2.6"/>
        <n v="4.5"/>
        <n v="4.7"/>
        <n v="4.2"/>
        <n v="4.4000000000000004"/>
        <n v="2.9"/>
        <n v="2.5"/>
      </sharedItems>
    </cacheField>
    <cacheField name="Rating Category" numFmtId="0">
      <sharedItems count="5">
        <s v="Uknown"/>
        <s v="Poor"/>
        <s v="Excellent"/>
        <s v="Average"/>
        <s v="" u="1"/>
      </sharedItems>
    </cacheField>
  </cacheFields>
  <extLst>
    <ext xmlns:x14="http://schemas.microsoft.com/office/spreadsheetml/2009/9/main" uri="{725AE2AE-9491-48be-B2B4-4EB974FC3084}">
      <x14:pivotCacheDefinition pivotCacheId="878063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99"/>
    <n v="553"/>
    <n v="354"/>
    <x v="0"/>
    <x v="0"/>
    <x v="0"/>
    <x v="0"/>
    <x v="0"/>
  </r>
  <r>
    <x v="1"/>
    <x v="1"/>
    <n v="199"/>
    <n v="504"/>
    <n v="305"/>
    <x v="1"/>
    <x v="0"/>
    <x v="0"/>
    <x v="0"/>
    <x v="0"/>
  </r>
  <r>
    <x v="2"/>
    <x v="0"/>
    <n v="2115"/>
    <n v="4700"/>
    <n v="2585"/>
    <x v="2"/>
    <x v="0"/>
    <x v="1"/>
    <x v="1"/>
    <x v="1"/>
  </r>
  <r>
    <x v="3"/>
    <x v="0"/>
    <n v="1274"/>
    <n v="2800"/>
    <n v="1526"/>
    <x v="2"/>
    <x v="0"/>
    <x v="2"/>
    <x v="2"/>
    <x v="2"/>
  </r>
  <r>
    <x v="4"/>
    <x v="1"/>
    <n v="399"/>
    <n v="896"/>
    <n v="497"/>
    <x v="2"/>
    <x v="0"/>
    <x v="0"/>
    <x v="0"/>
    <x v="0"/>
  </r>
  <r>
    <x v="5"/>
    <x v="1"/>
    <n v="2048"/>
    <n v="4500"/>
    <n v="2452"/>
    <x v="3"/>
    <x v="0"/>
    <x v="3"/>
    <x v="3"/>
    <x v="3"/>
  </r>
  <r>
    <x v="6"/>
    <x v="2"/>
    <n v="458"/>
    <n v="986"/>
    <n v="528"/>
    <x v="3"/>
    <x v="0"/>
    <x v="4"/>
    <x v="4"/>
    <x v="3"/>
  </r>
  <r>
    <x v="7"/>
    <x v="1"/>
    <n v="171"/>
    <n v="360"/>
    <n v="189"/>
    <x v="4"/>
    <x v="0"/>
    <x v="5"/>
    <x v="5"/>
    <x v="2"/>
  </r>
  <r>
    <x v="8"/>
    <x v="3"/>
    <n v="38"/>
    <n v="80"/>
    <n v="42"/>
    <x v="4"/>
    <x v="0"/>
    <x v="1"/>
    <x v="6"/>
    <x v="3"/>
  </r>
  <r>
    <x v="9"/>
    <x v="4"/>
    <n v="325"/>
    <n v="680"/>
    <n v="355"/>
    <x v="5"/>
    <x v="0"/>
    <x v="6"/>
    <x v="7"/>
    <x v="1"/>
  </r>
  <r>
    <x v="10"/>
    <x v="5"/>
    <n v="185"/>
    <n v="382"/>
    <n v="197"/>
    <x v="5"/>
    <x v="0"/>
    <x v="7"/>
    <x v="3"/>
    <x v="3"/>
  </r>
  <r>
    <x v="11"/>
    <x v="1"/>
    <n v="332"/>
    <n v="684"/>
    <n v="352"/>
    <x v="6"/>
    <x v="0"/>
    <x v="5"/>
    <x v="5"/>
    <x v="2"/>
  </r>
  <r>
    <x v="12"/>
    <x v="6"/>
    <n v="1200"/>
    <n v="2400"/>
    <n v="1200"/>
    <x v="7"/>
    <x v="0"/>
    <x v="0"/>
    <x v="0"/>
    <x v="0"/>
  </r>
  <r>
    <x v="13"/>
    <x v="4"/>
    <n v="1000"/>
    <n v="2000"/>
    <n v="1000"/>
    <x v="7"/>
    <x v="0"/>
    <x v="3"/>
    <x v="8"/>
    <x v="1"/>
  </r>
  <r>
    <x v="14"/>
    <x v="2"/>
    <n v="999"/>
    <n v="2000"/>
    <n v="1001"/>
    <x v="7"/>
    <x v="0"/>
    <x v="0"/>
    <x v="0"/>
    <x v="0"/>
  </r>
  <r>
    <x v="15"/>
    <x v="1"/>
    <n v="850"/>
    <n v="1700"/>
    <n v="850"/>
    <x v="7"/>
    <x v="0"/>
    <x v="0"/>
    <x v="0"/>
    <x v="0"/>
  </r>
  <r>
    <x v="16"/>
    <x v="4"/>
    <n v="450"/>
    <n v="900"/>
    <n v="450"/>
    <x v="7"/>
    <x v="0"/>
    <x v="8"/>
    <x v="9"/>
    <x v="1"/>
  </r>
  <r>
    <x v="17"/>
    <x v="4"/>
    <n v="299"/>
    <n v="600"/>
    <n v="301"/>
    <x v="7"/>
    <x v="0"/>
    <x v="0"/>
    <x v="0"/>
    <x v="0"/>
  </r>
  <r>
    <x v="18"/>
    <x v="1"/>
    <n v="238"/>
    <n v="476"/>
    <n v="238"/>
    <x v="7"/>
    <x v="0"/>
    <x v="0"/>
    <x v="0"/>
    <x v="0"/>
  </r>
  <r>
    <x v="19"/>
    <x v="1"/>
    <n v="2025"/>
    <n v="3971"/>
    <n v="1946"/>
    <x v="8"/>
    <x v="0"/>
    <x v="9"/>
    <x v="5"/>
    <x v="2"/>
  </r>
  <r>
    <x v="20"/>
    <x v="6"/>
    <n v="998"/>
    <n v="1966"/>
    <n v="968"/>
    <x v="8"/>
    <x v="0"/>
    <x v="10"/>
    <x v="10"/>
    <x v="2"/>
  </r>
  <r>
    <x v="21"/>
    <x v="1"/>
    <n v="979"/>
    <n v="1920"/>
    <n v="941"/>
    <x v="8"/>
    <x v="0"/>
    <x v="8"/>
    <x v="5"/>
    <x v="2"/>
  </r>
  <r>
    <x v="22"/>
    <x v="4"/>
    <n v="799"/>
    <n v="1567"/>
    <n v="768"/>
    <x v="8"/>
    <x v="0"/>
    <x v="0"/>
    <x v="0"/>
    <x v="0"/>
  </r>
  <r>
    <x v="23"/>
    <x v="4"/>
    <n v="671"/>
    <n v="1316"/>
    <n v="645"/>
    <x v="8"/>
    <x v="0"/>
    <x v="0"/>
    <x v="0"/>
    <x v="0"/>
  </r>
  <r>
    <x v="22"/>
    <x v="4"/>
    <n v="657"/>
    <n v="1288"/>
    <n v="631"/>
    <x v="8"/>
    <x v="0"/>
    <x v="0"/>
    <x v="0"/>
    <x v="0"/>
  </r>
  <r>
    <x v="24"/>
    <x v="7"/>
    <n v="525"/>
    <n v="1029"/>
    <n v="504"/>
    <x v="8"/>
    <x v="0"/>
    <x v="0"/>
    <x v="0"/>
    <x v="0"/>
  </r>
  <r>
    <x v="25"/>
    <x v="4"/>
    <n v="475"/>
    <n v="931"/>
    <n v="456"/>
    <x v="8"/>
    <x v="0"/>
    <x v="0"/>
    <x v="0"/>
    <x v="0"/>
  </r>
  <r>
    <x v="26"/>
    <x v="4"/>
    <n v="445"/>
    <n v="873"/>
    <n v="428"/>
    <x v="8"/>
    <x v="0"/>
    <x v="11"/>
    <x v="11"/>
    <x v="1"/>
  </r>
  <r>
    <x v="27"/>
    <x v="0"/>
    <n v="330"/>
    <n v="647"/>
    <n v="317"/>
    <x v="8"/>
    <x v="0"/>
    <x v="8"/>
    <x v="12"/>
    <x v="3"/>
  </r>
  <r>
    <x v="28"/>
    <x v="1"/>
    <n v="274"/>
    <n v="537"/>
    <n v="263"/>
    <x v="8"/>
    <x v="0"/>
    <x v="0"/>
    <x v="0"/>
    <x v="0"/>
  </r>
  <r>
    <x v="29"/>
    <x v="0"/>
    <n v="248"/>
    <n v="486"/>
    <n v="238"/>
    <x v="8"/>
    <x v="0"/>
    <x v="0"/>
    <x v="0"/>
    <x v="0"/>
  </r>
  <r>
    <x v="30"/>
    <x v="0"/>
    <n v="230"/>
    <n v="450"/>
    <n v="220"/>
    <x v="8"/>
    <x v="0"/>
    <x v="0"/>
    <x v="0"/>
    <x v="0"/>
  </r>
  <r>
    <x v="1"/>
    <x v="1"/>
    <n v="176"/>
    <n v="345"/>
    <n v="169"/>
    <x v="8"/>
    <x v="0"/>
    <x v="0"/>
    <x v="0"/>
    <x v="0"/>
  </r>
  <r>
    <x v="31"/>
    <x v="1"/>
    <n v="1820"/>
    <n v="3490"/>
    <n v="1670"/>
    <x v="9"/>
    <x v="0"/>
    <x v="7"/>
    <x v="3"/>
    <x v="3"/>
  </r>
  <r>
    <x v="32"/>
    <x v="1"/>
    <n v="1300"/>
    <n v="2500"/>
    <n v="1200"/>
    <x v="9"/>
    <x v="0"/>
    <x v="0"/>
    <x v="0"/>
    <x v="0"/>
  </r>
  <r>
    <x v="33"/>
    <x v="2"/>
    <n v="699"/>
    <n v="1343"/>
    <n v="644"/>
    <x v="9"/>
    <x v="0"/>
    <x v="0"/>
    <x v="0"/>
    <x v="0"/>
  </r>
  <r>
    <x v="34"/>
    <x v="4"/>
    <n v="105"/>
    <n v="200"/>
    <n v="95"/>
    <x v="9"/>
    <x v="0"/>
    <x v="0"/>
    <x v="0"/>
    <x v="0"/>
  </r>
  <r>
    <x v="35"/>
    <x v="4"/>
    <n v="1570"/>
    <n v="2988"/>
    <n v="1418"/>
    <x v="10"/>
    <x v="0"/>
    <x v="3"/>
    <x v="1"/>
    <x v="1"/>
  </r>
  <r>
    <x v="36"/>
    <x v="3"/>
    <n v="968"/>
    <n v="1814"/>
    <n v="846"/>
    <x v="10"/>
    <x v="0"/>
    <x v="12"/>
    <x v="13"/>
    <x v="1"/>
  </r>
  <r>
    <x v="37"/>
    <x v="1"/>
    <n v="899"/>
    <n v="1699"/>
    <n v="800"/>
    <x v="10"/>
    <x v="0"/>
    <x v="0"/>
    <x v="0"/>
    <x v="0"/>
  </r>
  <r>
    <x v="38"/>
    <x v="2"/>
    <n v="790"/>
    <n v="1485"/>
    <n v="695"/>
    <x v="10"/>
    <x v="0"/>
    <x v="0"/>
    <x v="0"/>
    <x v="0"/>
  </r>
  <r>
    <x v="39"/>
    <x v="1"/>
    <n v="552"/>
    <n v="1035"/>
    <n v="483"/>
    <x v="10"/>
    <x v="0"/>
    <x v="13"/>
    <x v="2"/>
    <x v="2"/>
  </r>
  <r>
    <x v="40"/>
    <x v="1"/>
    <n v="527"/>
    <n v="999"/>
    <n v="472"/>
    <x v="10"/>
    <x v="0"/>
    <x v="14"/>
    <x v="14"/>
    <x v="3"/>
  </r>
  <r>
    <x v="41"/>
    <x v="0"/>
    <n v="169"/>
    <n v="320"/>
    <n v="151"/>
    <x v="10"/>
    <x v="0"/>
    <x v="0"/>
    <x v="0"/>
    <x v="0"/>
  </r>
  <r>
    <x v="42"/>
    <x v="1"/>
    <n v="2200"/>
    <n v="4080"/>
    <n v="1880"/>
    <x v="11"/>
    <x v="0"/>
    <x v="0"/>
    <x v="0"/>
    <x v="0"/>
  </r>
  <r>
    <x v="43"/>
    <x v="6"/>
    <n v="1189"/>
    <n v="2199"/>
    <n v="1010"/>
    <x v="11"/>
    <x v="0"/>
    <x v="8"/>
    <x v="4"/>
    <x v="3"/>
  </r>
  <r>
    <x v="44"/>
    <x v="1"/>
    <n v="195"/>
    <n v="360"/>
    <n v="165"/>
    <x v="11"/>
    <x v="0"/>
    <x v="5"/>
    <x v="5"/>
    <x v="2"/>
  </r>
  <r>
    <x v="45"/>
    <x v="4"/>
    <n v="1600"/>
    <n v="2929"/>
    <n v="1329"/>
    <x v="12"/>
    <x v="0"/>
    <x v="2"/>
    <x v="15"/>
    <x v="3"/>
  </r>
  <r>
    <x v="46"/>
    <x v="1"/>
    <n v="990"/>
    <n v="1814"/>
    <n v="824"/>
    <x v="12"/>
    <x v="0"/>
    <x v="12"/>
    <x v="13"/>
    <x v="1"/>
  </r>
  <r>
    <x v="4"/>
    <x v="1"/>
    <n v="499"/>
    <n v="900"/>
    <n v="401"/>
    <x v="12"/>
    <x v="0"/>
    <x v="0"/>
    <x v="0"/>
    <x v="0"/>
  </r>
  <r>
    <x v="47"/>
    <x v="6"/>
    <n v="382"/>
    <n v="700"/>
    <n v="318"/>
    <x v="12"/>
    <x v="0"/>
    <x v="15"/>
    <x v="16"/>
    <x v="1"/>
  </r>
  <r>
    <x v="48"/>
    <x v="0"/>
    <n v="690"/>
    <n v="1200"/>
    <n v="510"/>
    <x v="13"/>
    <x v="0"/>
    <x v="0"/>
    <x v="0"/>
    <x v="0"/>
  </r>
  <r>
    <x v="49"/>
    <x v="3"/>
    <n v="630"/>
    <n v="1100"/>
    <n v="470"/>
    <x v="13"/>
    <x v="0"/>
    <x v="0"/>
    <x v="0"/>
    <x v="0"/>
  </r>
  <r>
    <x v="50"/>
    <x v="6"/>
    <n v="509"/>
    <n v="899"/>
    <n v="390"/>
    <x v="13"/>
    <x v="0"/>
    <x v="2"/>
    <x v="4"/>
    <x v="3"/>
  </r>
  <r>
    <x v="51"/>
    <x v="6"/>
    <n v="345"/>
    <n v="602"/>
    <n v="257"/>
    <x v="13"/>
    <x v="0"/>
    <x v="12"/>
    <x v="8"/>
    <x v="1"/>
  </r>
  <r>
    <x v="52"/>
    <x v="0"/>
    <n v="1860"/>
    <n v="3220"/>
    <n v="1360"/>
    <x v="14"/>
    <x v="0"/>
    <x v="0"/>
    <x v="0"/>
    <x v="0"/>
  </r>
  <r>
    <x v="53"/>
    <x v="4"/>
    <n v="1080"/>
    <n v="1874"/>
    <n v="794"/>
    <x v="14"/>
    <x v="0"/>
    <x v="0"/>
    <x v="0"/>
    <x v="0"/>
  </r>
  <r>
    <x v="54"/>
    <x v="1"/>
    <n v="610"/>
    <n v="1060"/>
    <n v="450"/>
    <x v="14"/>
    <x v="0"/>
    <x v="0"/>
    <x v="0"/>
    <x v="0"/>
  </r>
  <r>
    <x v="55"/>
    <x v="4"/>
    <n v="501"/>
    <n v="860"/>
    <n v="359"/>
    <x v="14"/>
    <x v="0"/>
    <x v="12"/>
    <x v="17"/>
    <x v="2"/>
  </r>
  <r>
    <x v="56"/>
    <x v="4"/>
    <n v="1420"/>
    <n v="2420"/>
    <n v="1000"/>
    <x v="15"/>
    <x v="0"/>
    <x v="0"/>
    <x v="0"/>
    <x v="0"/>
  </r>
  <r>
    <x v="57"/>
    <x v="2"/>
    <n v="799"/>
    <n v="1343"/>
    <n v="544"/>
    <x v="15"/>
    <x v="0"/>
    <x v="0"/>
    <x v="0"/>
    <x v="0"/>
  </r>
  <r>
    <x v="58"/>
    <x v="6"/>
    <n v="389"/>
    <n v="656"/>
    <n v="267"/>
    <x v="15"/>
    <x v="0"/>
    <x v="16"/>
    <x v="3"/>
    <x v="3"/>
  </r>
  <r>
    <x v="59"/>
    <x v="1"/>
    <n v="1620"/>
    <n v="2690"/>
    <n v="1070"/>
    <x v="16"/>
    <x v="1"/>
    <x v="8"/>
    <x v="5"/>
    <x v="2"/>
  </r>
  <r>
    <x v="60"/>
    <x v="4"/>
    <n v="3750"/>
    <n v="6143"/>
    <n v="2393"/>
    <x v="17"/>
    <x v="1"/>
    <x v="2"/>
    <x v="4"/>
    <x v="3"/>
  </r>
  <r>
    <x v="61"/>
    <x v="1"/>
    <n v="2750"/>
    <n v="4471"/>
    <n v="1721"/>
    <x v="18"/>
    <x v="1"/>
    <x v="0"/>
    <x v="0"/>
    <x v="0"/>
  </r>
  <r>
    <x v="62"/>
    <x v="1"/>
    <n v="1800"/>
    <n v="2700"/>
    <n v="900"/>
    <x v="18"/>
    <x v="1"/>
    <x v="5"/>
    <x v="17"/>
    <x v="2"/>
  </r>
  <r>
    <x v="63"/>
    <x v="2"/>
    <n v="1200"/>
    <n v="1950"/>
    <n v="750"/>
    <x v="18"/>
    <x v="1"/>
    <x v="0"/>
    <x v="0"/>
    <x v="0"/>
  </r>
  <r>
    <x v="64"/>
    <x v="4"/>
    <n v="950"/>
    <n v="1525"/>
    <n v="575"/>
    <x v="18"/>
    <x v="1"/>
    <x v="5"/>
    <x v="17"/>
    <x v="2"/>
  </r>
  <r>
    <x v="65"/>
    <x v="4"/>
    <n v="1580"/>
    <n v="2499"/>
    <n v="919"/>
    <x v="19"/>
    <x v="1"/>
    <x v="3"/>
    <x v="18"/>
    <x v="2"/>
  </r>
  <r>
    <x v="66"/>
    <x v="4"/>
    <n v="988"/>
    <n v="1580"/>
    <n v="592"/>
    <x v="19"/>
    <x v="1"/>
    <x v="5"/>
    <x v="12"/>
    <x v="3"/>
  </r>
  <r>
    <x v="67"/>
    <x v="2"/>
    <n v="1460"/>
    <n v="2290"/>
    <n v="830"/>
    <x v="20"/>
    <x v="1"/>
    <x v="0"/>
    <x v="0"/>
    <x v="0"/>
  </r>
  <r>
    <x v="68"/>
    <x v="4"/>
    <n v="880"/>
    <n v="1350"/>
    <n v="470"/>
    <x v="21"/>
    <x v="1"/>
    <x v="12"/>
    <x v="12"/>
    <x v="3"/>
  </r>
  <r>
    <x v="69"/>
    <x v="4"/>
    <n v="420"/>
    <n v="647"/>
    <n v="227"/>
    <x v="21"/>
    <x v="1"/>
    <x v="17"/>
    <x v="10"/>
    <x v="2"/>
  </r>
  <r>
    <x v="70"/>
    <x v="3"/>
    <n v="1190"/>
    <n v="1810"/>
    <n v="620"/>
    <x v="22"/>
    <x v="1"/>
    <x v="0"/>
    <x v="0"/>
    <x v="0"/>
  </r>
  <r>
    <x v="71"/>
    <x v="2"/>
    <n v="1150"/>
    <n v="1737"/>
    <n v="587"/>
    <x v="22"/>
    <x v="1"/>
    <x v="0"/>
    <x v="0"/>
    <x v="0"/>
  </r>
  <r>
    <x v="72"/>
    <x v="3"/>
    <n v="990"/>
    <n v="1500"/>
    <n v="510"/>
    <x v="22"/>
    <x v="1"/>
    <x v="18"/>
    <x v="18"/>
    <x v="2"/>
  </r>
  <r>
    <x v="73"/>
    <x v="0"/>
    <n v="980"/>
    <n v="1490"/>
    <n v="510"/>
    <x v="22"/>
    <x v="1"/>
    <x v="13"/>
    <x v="18"/>
    <x v="2"/>
  </r>
  <r>
    <x v="74"/>
    <x v="4"/>
    <n v="1680"/>
    <n v="2499"/>
    <n v="819"/>
    <x v="23"/>
    <x v="1"/>
    <x v="7"/>
    <x v="19"/>
    <x v="3"/>
  </r>
  <r>
    <x v="75"/>
    <x v="4"/>
    <n v="1190"/>
    <n v="1785"/>
    <n v="595"/>
    <x v="23"/>
    <x v="1"/>
    <x v="0"/>
    <x v="0"/>
    <x v="0"/>
  </r>
  <r>
    <x v="76"/>
    <x v="0"/>
    <n v="1350"/>
    <n v="1990"/>
    <n v="640"/>
    <x v="24"/>
    <x v="1"/>
    <x v="1"/>
    <x v="15"/>
    <x v="3"/>
  </r>
  <r>
    <x v="77"/>
    <x v="0"/>
    <n v="1758"/>
    <n v="2499"/>
    <n v="741"/>
    <x v="25"/>
    <x v="1"/>
    <x v="19"/>
    <x v="14"/>
    <x v="3"/>
  </r>
  <r>
    <x v="78"/>
    <x v="1"/>
    <n v="2300"/>
    <n v="3240"/>
    <n v="940"/>
    <x v="26"/>
    <x v="1"/>
    <x v="2"/>
    <x v="4"/>
    <x v="3"/>
  </r>
  <r>
    <x v="79"/>
    <x v="4"/>
    <n v="2799"/>
    <n v="3810"/>
    <n v="1011"/>
    <x v="27"/>
    <x v="1"/>
    <x v="0"/>
    <x v="0"/>
    <x v="0"/>
  </r>
  <r>
    <x v="80"/>
    <x v="3"/>
    <n v="1980"/>
    <n v="2699"/>
    <n v="719"/>
    <x v="27"/>
    <x v="1"/>
    <x v="20"/>
    <x v="17"/>
    <x v="2"/>
  </r>
  <r>
    <x v="81"/>
    <x v="3"/>
    <n v="1940"/>
    <n v="2650"/>
    <n v="710"/>
    <x v="27"/>
    <x v="1"/>
    <x v="19"/>
    <x v="18"/>
    <x v="2"/>
  </r>
  <r>
    <x v="82"/>
    <x v="4"/>
    <n v="1740"/>
    <n v="2356"/>
    <n v="616"/>
    <x v="28"/>
    <x v="1"/>
    <x v="2"/>
    <x v="2"/>
    <x v="2"/>
  </r>
  <r>
    <x v="83"/>
    <x v="4"/>
    <n v="2199"/>
    <n v="2923"/>
    <n v="724"/>
    <x v="29"/>
    <x v="1"/>
    <x v="21"/>
    <x v="10"/>
    <x v="2"/>
  </r>
  <r>
    <x v="84"/>
    <x v="0"/>
    <n v="2319"/>
    <n v="3032"/>
    <n v="713"/>
    <x v="30"/>
    <x v="1"/>
    <x v="22"/>
    <x v="10"/>
    <x v="2"/>
  </r>
  <r>
    <x v="85"/>
    <x v="0"/>
    <n v="198"/>
    <n v="260"/>
    <n v="62"/>
    <x v="30"/>
    <x v="1"/>
    <x v="0"/>
    <x v="0"/>
    <x v="0"/>
  </r>
  <r>
    <x v="86"/>
    <x v="1"/>
    <n v="1650"/>
    <n v="2150"/>
    <n v="500"/>
    <x v="31"/>
    <x v="1"/>
    <x v="14"/>
    <x v="20"/>
    <x v="3"/>
  </r>
  <r>
    <x v="87"/>
    <x v="4"/>
    <n v="1220"/>
    <n v="1555"/>
    <n v="335"/>
    <x v="32"/>
    <x v="1"/>
    <x v="23"/>
    <x v="21"/>
    <x v="1"/>
  </r>
  <r>
    <x v="88"/>
    <x v="3"/>
    <n v="299"/>
    <n v="384"/>
    <n v="85"/>
    <x v="32"/>
    <x v="1"/>
    <x v="0"/>
    <x v="0"/>
    <x v="0"/>
  </r>
  <r>
    <x v="89"/>
    <x v="4"/>
    <n v="3640"/>
    <n v="4588"/>
    <n v="948"/>
    <x v="33"/>
    <x v="1"/>
    <x v="8"/>
    <x v="5"/>
    <x v="2"/>
  </r>
  <r>
    <x v="90"/>
    <x v="4"/>
    <n v="799"/>
    <n v="999"/>
    <n v="200"/>
    <x v="34"/>
    <x v="1"/>
    <x v="13"/>
    <x v="14"/>
    <x v="3"/>
  </r>
  <r>
    <x v="91"/>
    <x v="1"/>
    <n v="2999"/>
    <n v="3699"/>
    <n v="700"/>
    <x v="35"/>
    <x v="2"/>
    <x v="2"/>
    <x v="10"/>
    <x v="2"/>
  </r>
  <r>
    <x v="92"/>
    <x v="1"/>
    <n v="2880"/>
    <n v="3520"/>
    <n v="640"/>
    <x v="36"/>
    <x v="2"/>
    <x v="13"/>
    <x v="15"/>
    <x v="3"/>
  </r>
  <r>
    <x v="93"/>
    <x v="6"/>
    <n v="1468"/>
    <n v="1699"/>
    <n v="231"/>
    <x v="37"/>
    <x v="2"/>
    <x v="0"/>
    <x v="0"/>
    <x v="0"/>
  </r>
  <r>
    <x v="94"/>
    <x v="1"/>
    <n v="1466"/>
    <n v="1699"/>
    <n v="233"/>
    <x v="37"/>
    <x v="2"/>
    <x v="0"/>
    <x v="0"/>
    <x v="0"/>
  </r>
  <r>
    <x v="95"/>
    <x v="0"/>
    <n v="2170"/>
    <n v="2500"/>
    <n v="330"/>
    <x v="38"/>
    <x v="2"/>
    <x v="12"/>
    <x v="22"/>
    <x v="1"/>
  </r>
  <r>
    <x v="96"/>
    <x v="0"/>
    <n v="799"/>
    <n v="900"/>
    <n v="101"/>
    <x v="39"/>
    <x v="2"/>
    <x v="0"/>
    <x v="0"/>
    <x v="0"/>
  </r>
  <r>
    <x v="97"/>
    <x v="4"/>
    <n v="2999"/>
    <n v="3290"/>
    <n v="291"/>
    <x v="40"/>
    <x v="2"/>
    <x v="6"/>
    <x v="12"/>
    <x v="3"/>
  </r>
  <r>
    <x v="98"/>
    <x v="6"/>
    <n v="1526"/>
    <n v="1660"/>
    <n v="134"/>
    <x v="41"/>
    <x v="2"/>
    <x v="0"/>
    <x v="0"/>
    <x v="0"/>
  </r>
  <r>
    <x v="99"/>
    <x v="1"/>
    <n v="3546"/>
    <n v="3699"/>
    <n v="153"/>
    <x v="42"/>
    <x v="2"/>
    <x v="0"/>
    <x v="0"/>
    <x v="0"/>
  </r>
  <r>
    <x v="100"/>
    <x v="5"/>
    <n v="1732"/>
    <n v="1799"/>
    <n v="67"/>
    <x v="42"/>
    <x v="2"/>
    <x v="0"/>
    <x v="0"/>
    <x v="0"/>
  </r>
  <r>
    <x v="101"/>
    <x v="0"/>
    <n v="1459"/>
    <n v="1499"/>
    <n v="40"/>
    <x v="43"/>
    <x v="2"/>
    <x v="0"/>
    <x v="0"/>
    <x v="0"/>
  </r>
  <r>
    <x v="102"/>
    <x v="3"/>
    <n v="2132"/>
    <n v="2169"/>
    <n v="37"/>
    <x v="44"/>
    <x v="2"/>
    <x v="0"/>
    <x v="0"/>
    <x v="0"/>
  </r>
  <r>
    <x v="103"/>
    <x v="0"/>
    <n v="1768"/>
    <n v="1799"/>
    <n v="31"/>
    <x v="44"/>
    <x v="2"/>
    <x v="0"/>
    <x v="0"/>
    <x v="0"/>
  </r>
  <r>
    <x v="104"/>
    <x v="4"/>
    <n v="1666"/>
    <n v="1699"/>
    <n v="33"/>
    <x v="44"/>
    <x v="2"/>
    <x v="0"/>
    <x v="0"/>
    <x v="0"/>
  </r>
  <r>
    <x v="105"/>
    <x v="7"/>
    <n v="1660"/>
    <n v="1699"/>
    <n v="39"/>
    <x v="44"/>
    <x v="2"/>
    <x v="0"/>
    <x v="0"/>
    <x v="0"/>
  </r>
  <r>
    <x v="106"/>
    <x v="4"/>
    <n v="1658"/>
    <n v="1699"/>
    <n v="41"/>
    <x v="44"/>
    <x v="2"/>
    <x v="0"/>
    <x v="0"/>
    <x v="0"/>
  </r>
  <r>
    <x v="107"/>
    <x v="0"/>
    <n v="1462"/>
    <n v="1499"/>
    <n v="37"/>
    <x v="44"/>
    <x v="2"/>
    <x v="0"/>
    <x v="0"/>
    <x v="0"/>
  </r>
  <r>
    <x v="108"/>
    <x v="1"/>
    <n v="1875"/>
    <n v="1899"/>
    <n v="24"/>
    <x v="45"/>
    <x v="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174FC-4DAB-41DA-8EE6-6BA23C8CC041}"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H11" firstHeaderRow="0" firstDataRow="1" firstDataCol="1"/>
  <pivotFields count="10">
    <pivotField showAll="0"/>
    <pivotField axis="axisRow" showAll="0">
      <items count="9">
        <item x="4"/>
        <item x="7"/>
        <item x="6"/>
        <item x="3"/>
        <item x="2"/>
        <item x="5"/>
        <item x="1"/>
        <item x="0"/>
        <item t="default"/>
      </items>
    </pivotField>
    <pivotField numFmtId="1" showAll="0"/>
    <pivotField numFmtId="1" showAll="0"/>
    <pivotField numFmtId="1" showAll="0"/>
    <pivotField dataField="1" numFmtId="9" showAll="0"/>
    <pivotField showAll="0">
      <items count="4">
        <item x="0"/>
        <item x="2"/>
        <item x="1"/>
        <item t="default"/>
      </items>
    </pivotField>
    <pivotField showAll="0"/>
    <pivotField dataField="1" showAll="0"/>
    <pivotField showAll="0">
      <items count="6">
        <item h="1" m="1" x="4"/>
        <item x="3"/>
        <item x="2"/>
        <item x="1"/>
        <item x="0"/>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Average of Discount" fld="5" subtotal="average" baseField="1" baseItem="0" numFmtId="9"/>
    <dataField name="Average of Rating" fld="8" subtotal="average"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FE3F78-8B3D-4E4D-8B56-948B96DACEA6}" name="PivotTable1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10">
    <pivotField axis="axisRow" showAll="0">
      <items count="115">
        <item x="62"/>
        <item x="72"/>
        <item m="1" x="113"/>
        <item x="64"/>
        <item x="76"/>
        <item x="73"/>
        <item x="26"/>
        <item x="79"/>
        <item x="45"/>
        <item x="84"/>
        <item x="85"/>
        <item x="104"/>
        <item x="97"/>
        <item x="108"/>
        <item x="12"/>
        <item x="63"/>
        <item x="38"/>
        <item x="60"/>
        <item x="13"/>
        <item x="20"/>
        <item x="48"/>
        <item x="8"/>
        <item x="29"/>
        <item x="39"/>
        <item x="25"/>
        <item x="52"/>
        <item x="95"/>
        <item x="77"/>
        <item x="80"/>
        <item x="81"/>
        <item x="67"/>
        <item x="2"/>
        <item x="0"/>
        <item x="37"/>
        <item x="75"/>
        <item x="30"/>
        <item x="36"/>
        <item x="53"/>
        <item x="56"/>
        <item x="47"/>
        <item x="22"/>
        <item m="1" x="110"/>
        <item x="11"/>
        <item x="46"/>
        <item x="24"/>
        <item x="54"/>
        <item x="21"/>
        <item x="41"/>
        <item x="17"/>
        <item x="23"/>
        <item x="28"/>
        <item x="70"/>
        <item x="14"/>
        <item x="33"/>
        <item x="7"/>
        <item x="1"/>
        <item x="100"/>
        <item x="57"/>
        <item x="66"/>
        <item x="59"/>
        <item x="35"/>
        <item x="69"/>
        <item x="10"/>
        <item x="86"/>
        <item x="90"/>
        <item x="27"/>
        <item m="1" x="109"/>
        <item x="9"/>
        <item x="89"/>
        <item x="78"/>
        <item x="5"/>
        <item x="19"/>
        <item x="55"/>
        <item x="3"/>
        <item x="61"/>
        <item m="1" x="111"/>
        <item x="31"/>
        <item x="68"/>
        <item x="71"/>
        <item x="91"/>
        <item x="43"/>
        <item x="40"/>
        <item x="99"/>
        <item x="18"/>
        <item x="74"/>
        <item x="49"/>
        <item x="42"/>
        <item x="101"/>
        <item x="6"/>
        <item x="94"/>
        <item x="96"/>
        <item m="1" x="112"/>
        <item x="44"/>
        <item x="105"/>
        <item x="88"/>
        <item x="82"/>
        <item x="83"/>
        <item x="107"/>
        <item x="92"/>
        <item x="32"/>
        <item x="58"/>
        <item x="34"/>
        <item x="102"/>
        <item x="106"/>
        <item x="4"/>
        <item x="103"/>
        <item x="87"/>
        <item x="15"/>
        <item x="98"/>
        <item x="16"/>
        <item x="93"/>
        <item x="51"/>
        <item x="65"/>
        <item x="50"/>
        <item t="default"/>
      </items>
    </pivotField>
    <pivotField showAll="0">
      <items count="9">
        <item x="4"/>
        <item x="7"/>
        <item x="6"/>
        <item x="3"/>
        <item x="2"/>
        <item x="5"/>
        <item x="1"/>
        <item x="0"/>
        <item t="default"/>
      </items>
    </pivotField>
    <pivotField numFmtId="1" showAll="0"/>
    <pivotField numFmtId="1" showAll="0"/>
    <pivotField numFmtId="1" showAll="0"/>
    <pivotField numFmtId="9" showAll="0"/>
    <pivotField showAll="0">
      <items count="4">
        <item x="0"/>
        <item x="2"/>
        <item x="1"/>
        <item t="default"/>
      </items>
    </pivotField>
    <pivotField showAll="0"/>
    <pivotField dataField="1" showAll="0"/>
    <pivotField showAll="0">
      <items count="6">
        <item h="1" m="1" x="4"/>
        <item x="3"/>
        <item x="2"/>
        <item x="1"/>
        <item x="0"/>
        <item t="default"/>
      </items>
    </pivotField>
  </pivotFields>
  <rowFields count="1">
    <field x="0"/>
  </rowFields>
  <rowItems count="110">
    <i>
      <x/>
    </i>
    <i>
      <x v="1"/>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2"/>
    </i>
    <i>
      <x v="43"/>
    </i>
    <i>
      <x v="44"/>
    </i>
    <i>
      <x v="45"/>
    </i>
    <i>
      <x v="46"/>
    </i>
    <i>
      <x v="47"/>
    </i>
    <i>
      <x v="48"/>
    </i>
    <i>
      <x v="49"/>
    </i>
    <i>
      <x v="50"/>
    </i>
    <i>
      <x v="51"/>
    </i>
    <i>
      <x v="52"/>
    </i>
    <i>
      <x v="53"/>
    </i>
    <i>
      <x v="54"/>
    </i>
    <i>
      <x v="55"/>
    </i>
    <i>
      <x v="56"/>
    </i>
    <i>
      <x v="57"/>
    </i>
    <i>
      <x v="58"/>
    </i>
    <i>
      <x v="59"/>
    </i>
    <i>
      <x v="60"/>
    </i>
    <i>
      <x v="61"/>
    </i>
    <i>
      <x v="62"/>
    </i>
    <i>
      <x v="63"/>
    </i>
    <i>
      <x v="64"/>
    </i>
    <i>
      <x v="65"/>
    </i>
    <i>
      <x v="67"/>
    </i>
    <i>
      <x v="68"/>
    </i>
    <i>
      <x v="69"/>
    </i>
    <i>
      <x v="70"/>
    </i>
    <i>
      <x v="71"/>
    </i>
    <i>
      <x v="72"/>
    </i>
    <i>
      <x v="73"/>
    </i>
    <i>
      <x v="74"/>
    </i>
    <i>
      <x v="76"/>
    </i>
    <i>
      <x v="77"/>
    </i>
    <i>
      <x v="78"/>
    </i>
    <i>
      <x v="79"/>
    </i>
    <i>
      <x v="80"/>
    </i>
    <i>
      <x v="81"/>
    </i>
    <i>
      <x v="82"/>
    </i>
    <i>
      <x v="83"/>
    </i>
    <i>
      <x v="84"/>
    </i>
    <i>
      <x v="85"/>
    </i>
    <i>
      <x v="86"/>
    </i>
    <i>
      <x v="87"/>
    </i>
    <i>
      <x v="88"/>
    </i>
    <i>
      <x v="89"/>
    </i>
    <i>
      <x v="90"/>
    </i>
    <i>
      <x v="92"/>
    </i>
    <i>
      <x v="93"/>
    </i>
    <i>
      <x v="94"/>
    </i>
    <i>
      <x v="95"/>
    </i>
    <i>
      <x v="96"/>
    </i>
    <i>
      <x v="97"/>
    </i>
    <i>
      <x v="98"/>
    </i>
    <i>
      <x v="99"/>
    </i>
    <i>
      <x v="100"/>
    </i>
    <i>
      <x v="101"/>
    </i>
    <i>
      <x v="102"/>
    </i>
    <i>
      <x v="103"/>
    </i>
    <i>
      <x v="104"/>
    </i>
    <i>
      <x v="105"/>
    </i>
    <i>
      <x v="106"/>
    </i>
    <i>
      <x v="107"/>
    </i>
    <i>
      <x v="108"/>
    </i>
    <i>
      <x v="109"/>
    </i>
    <i>
      <x v="110"/>
    </i>
    <i>
      <x v="111"/>
    </i>
    <i>
      <x v="112"/>
    </i>
    <i>
      <x v="113"/>
    </i>
    <i t="grand">
      <x/>
    </i>
  </rowItems>
  <colItems count="1">
    <i/>
  </colItems>
  <dataFields count="1">
    <dataField name="Sum of Rating"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72ED2E-E1FF-4B74-943D-AB65C6E336ED}" name="PivotTable2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0" firstDataRow="1" firstDataCol="1"/>
  <pivotFields count="10">
    <pivotField dataField="1" showAll="0"/>
    <pivotField showAll="0">
      <items count="9">
        <item x="4"/>
        <item x="7"/>
        <item x="6"/>
        <item x="3"/>
        <item x="2"/>
        <item x="5"/>
        <item x="1"/>
        <item x="0"/>
        <item t="default"/>
      </items>
    </pivotField>
    <pivotField numFmtId="1" showAll="0"/>
    <pivotField numFmtId="1" showAll="0"/>
    <pivotField numFmtId="1" showAll="0"/>
    <pivotField numFmtId="9" showAll="0"/>
    <pivotField axis="axisRow" showAll="0">
      <items count="4">
        <item x="0"/>
        <item x="2"/>
        <item x="1"/>
        <item t="default"/>
      </items>
    </pivotField>
    <pivotField dataField="1" showAll="0"/>
    <pivotField dataField="1" showAll="0"/>
    <pivotField showAll="0">
      <items count="6">
        <item h="1" m="1" x="4"/>
        <item x="3"/>
        <item x="2"/>
        <item x="1"/>
        <item x="0"/>
        <item t="default"/>
      </items>
    </pivotField>
  </pivotFields>
  <rowFields count="1">
    <field x="6"/>
  </rowFields>
  <rowItems count="4">
    <i>
      <x/>
    </i>
    <i>
      <x v="1"/>
    </i>
    <i>
      <x v="2"/>
    </i>
    <i t="grand">
      <x/>
    </i>
  </rowItems>
  <colFields count="1">
    <field x="-2"/>
  </colFields>
  <colItems count="3">
    <i>
      <x/>
    </i>
    <i i="1">
      <x v="1"/>
    </i>
    <i i="2">
      <x v="2"/>
    </i>
  </colItems>
  <dataFields count="3">
    <dataField name="Sum of Reviews" fld="7" baseField="0" baseItem="0"/>
    <dataField name="Average of Rating" fld="8" subtotal="average" baseField="6" baseItem="0" numFmtId="164"/>
    <dataField name="Count of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E0904-30AE-4778-B007-853CAA5F2251}" name="PivotTable2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0">
    <pivotField axis="axisRow" showAll="0" measureFilter="1">
      <items count="115">
        <item x="62"/>
        <item x="72"/>
        <item m="1" x="113"/>
        <item x="64"/>
        <item x="76"/>
        <item x="73"/>
        <item x="26"/>
        <item x="79"/>
        <item x="45"/>
        <item x="84"/>
        <item x="85"/>
        <item x="104"/>
        <item x="97"/>
        <item x="108"/>
        <item x="12"/>
        <item x="63"/>
        <item x="38"/>
        <item x="60"/>
        <item x="13"/>
        <item x="20"/>
        <item x="48"/>
        <item x="8"/>
        <item x="29"/>
        <item x="39"/>
        <item x="25"/>
        <item x="52"/>
        <item x="95"/>
        <item x="77"/>
        <item x="80"/>
        <item x="81"/>
        <item x="67"/>
        <item x="2"/>
        <item x="0"/>
        <item x="37"/>
        <item x="75"/>
        <item x="30"/>
        <item x="36"/>
        <item x="53"/>
        <item x="56"/>
        <item x="47"/>
        <item x="22"/>
        <item m="1" x="110"/>
        <item x="11"/>
        <item x="46"/>
        <item x="24"/>
        <item x="54"/>
        <item x="21"/>
        <item x="41"/>
        <item x="17"/>
        <item x="23"/>
        <item x="28"/>
        <item x="70"/>
        <item x="14"/>
        <item x="33"/>
        <item x="7"/>
        <item x="1"/>
        <item x="100"/>
        <item x="57"/>
        <item x="66"/>
        <item x="59"/>
        <item x="35"/>
        <item x="69"/>
        <item x="10"/>
        <item x="86"/>
        <item x="90"/>
        <item x="27"/>
        <item m="1" x="109"/>
        <item x="9"/>
        <item x="89"/>
        <item x="78"/>
        <item x="5"/>
        <item x="19"/>
        <item x="55"/>
        <item x="3"/>
        <item x="61"/>
        <item m="1" x="111"/>
        <item x="31"/>
        <item x="68"/>
        <item x="71"/>
        <item x="91"/>
        <item x="43"/>
        <item x="40"/>
        <item x="99"/>
        <item x="18"/>
        <item x="74"/>
        <item x="49"/>
        <item x="42"/>
        <item x="101"/>
        <item x="6"/>
        <item x="94"/>
        <item x="96"/>
        <item m="1" x="112"/>
        <item x="44"/>
        <item x="105"/>
        <item x="88"/>
        <item x="82"/>
        <item x="83"/>
        <item x="107"/>
        <item x="92"/>
        <item x="32"/>
        <item x="58"/>
        <item x="34"/>
        <item x="102"/>
        <item x="106"/>
        <item x="4"/>
        <item x="103"/>
        <item x="87"/>
        <item x="15"/>
        <item x="98"/>
        <item x="16"/>
        <item x="93"/>
        <item x="51"/>
        <item x="65"/>
        <item x="50"/>
        <item t="default"/>
      </items>
    </pivotField>
    <pivotField showAll="0">
      <items count="9">
        <item x="4"/>
        <item x="7"/>
        <item x="6"/>
        <item x="3"/>
        <item x="2"/>
        <item x="5"/>
        <item x="1"/>
        <item x="0"/>
        <item t="default"/>
      </items>
    </pivotField>
    <pivotField numFmtId="1" showAll="0"/>
    <pivotField numFmtId="1" showAll="0"/>
    <pivotField numFmtId="1" showAll="0"/>
    <pivotField numFmtId="9" showAll="0"/>
    <pivotField showAll="0">
      <items count="4">
        <item x="0"/>
        <item x="2"/>
        <item x="1"/>
        <item t="default"/>
      </items>
    </pivotField>
    <pivotField dataField="1" showAll="0"/>
    <pivotField showAll="0"/>
    <pivotField showAll="0">
      <items count="6">
        <item h="1" m="1" x="4"/>
        <item x="3"/>
        <item x="2"/>
        <item x="1"/>
        <item x="0"/>
        <item t="default"/>
      </items>
    </pivotField>
  </pivotFields>
  <rowFields count="1">
    <field x="0"/>
  </rowFields>
  <rowItems count="11">
    <i>
      <x v="1"/>
    </i>
    <i>
      <x v="6"/>
    </i>
    <i>
      <x v="9"/>
    </i>
    <i>
      <x v="19"/>
    </i>
    <i>
      <x v="27"/>
    </i>
    <i>
      <x v="28"/>
    </i>
    <i>
      <x v="29"/>
    </i>
    <i>
      <x v="61"/>
    </i>
    <i>
      <x v="96"/>
    </i>
    <i>
      <x v="100"/>
    </i>
    <i t="grand">
      <x/>
    </i>
  </rowItems>
  <colItems count="1">
    <i/>
  </colItems>
  <dataFields count="1">
    <dataField name="Sum of Reviews" fld="7"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E331EB-5627-4174-AEC9-18F23FC71E92}" name="PivotTable2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0">
    <pivotField dataField="1" showAll="0">
      <items count="115">
        <item x="62"/>
        <item x="72"/>
        <item m="1" x="113"/>
        <item x="64"/>
        <item x="76"/>
        <item x="73"/>
        <item x="26"/>
        <item x="79"/>
        <item x="45"/>
        <item x="84"/>
        <item x="85"/>
        <item x="104"/>
        <item x="97"/>
        <item x="108"/>
        <item x="12"/>
        <item x="63"/>
        <item x="38"/>
        <item x="60"/>
        <item x="13"/>
        <item x="20"/>
        <item x="48"/>
        <item x="8"/>
        <item x="29"/>
        <item x="39"/>
        <item x="25"/>
        <item x="52"/>
        <item x="95"/>
        <item x="77"/>
        <item x="80"/>
        <item x="81"/>
        <item x="67"/>
        <item x="2"/>
        <item x="0"/>
        <item x="37"/>
        <item x="75"/>
        <item x="30"/>
        <item x="36"/>
        <item x="53"/>
        <item x="56"/>
        <item x="47"/>
        <item x="22"/>
        <item m="1" x="110"/>
        <item x="11"/>
        <item x="46"/>
        <item x="24"/>
        <item x="54"/>
        <item x="21"/>
        <item x="41"/>
        <item x="17"/>
        <item x="23"/>
        <item x="28"/>
        <item x="70"/>
        <item x="14"/>
        <item x="33"/>
        <item x="7"/>
        <item x="1"/>
        <item x="100"/>
        <item x="57"/>
        <item x="66"/>
        <item x="59"/>
        <item x="35"/>
        <item x="69"/>
        <item x="10"/>
        <item x="86"/>
        <item x="90"/>
        <item x="27"/>
        <item m="1" x="109"/>
        <item x="9"/>
        <item x="89"/>
        <item x="78"/>
        <item x="5"/>
        <item x="19"/>
        <item x="55"/>
        <item x="3"/>
        <item x="61"/>
        <item m="1" x="111"/>
        <item x="31"/>
        <item x="68"/>
        <item x="71"/>
        <item x="91"/>
        <item x="43"/>
        <item x="40"/>
        <item x="99"/>
        <item x="18"/>
        <item x="74"/>
        <item x="49"/>
        <item x="42"/>
        <item x="101"/>
        <item x="6"/>
        <item x="94"/>
        <item x="96"/>
        <item m="1" x="112"/>
        <item x="44"/>
        <item x="105"/>
        <item x="88"/>
        <item x="82"/>
        <item x="83"/>
        <item x="107"/>
        <item x="92"/>
        <item x="32"/>
        <item x="58"/>
        <item x="34"/>
        <item x="102"/>
        <item x="106"/>
        <item x="4"/>
        <item x="103"/>
        <item x="87"/>
        <item x="15"/>
        <item x="98"/>
        <item x="16"/>
        <item x="93"/>
        <item x="51"/>
        <item x="65"/>
        <item x="50"/>
        <item t="default"/>
      </items>
    </pivotField>
    <pivotField showAll="0">
      <items count="9">
        <item x="4"/>
        <item x="7"/>
        <item x="6"/>
        <item x="3"/>
        <item x="2"/>
        <item x="5"/>
        <item x="1"/>
        <item x="0"/>
        <item t="default"/>
      </items>
    </pivotField>
    <pivotField numFmtId="1" showAll="0"/>
    <pivotField numFmtId="1" showAll="0"/>
    <pivotField numFmtId="1" showAll="0"/>
    <pivotField numFmtId="9" showAll="0"/>
    <pivotField axis="axisRow" showAll="0">
      <items count="4">
        <item x="0"/>
        <item x="2"/>
        <item x="1"/>
        <item t="default"/>
      </items>
    </pivotField>
    <pivotField showAll="0"/>
    <pivotField showAll="0"/>
    <pivotField showAll="0">
      <items count="6">
        <item h="1" m="1" x="4"/>
        <item x="3"/>
        <item x="2"/>
        <item x="1"/>
        <item x="0"/>
        <item t="default"/>
      </items>
    </pivotField>
  </pivotFields>
  <rowFields count="1">
    <field x="6"/>
  </rowFields>
  <rowItems count="4">
    <i>
      <x/>
    </i>
    <i>
      <x v="1"/>
    </i>
    <i>
      <x v="2"/>
    </i>
    <i t="grand">
      <x/>
    </i>
  </rowItems>
  <colItems count="1">
    <i/>
  </colItems>
  <dataFields count="1">
    <dataField name="Count of Products" fld="0" subtotal="count" baseField="0" baseItem="0"/>
  </dataFields>
  <chartFormats count="5">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DCB26-30E1-4BC4-A236-D93CBA5ADC3F}" name="PivotTable2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0">
    <pivotField dataField="1" showAll="0"/>
    <pivotField showAll="0">
      <items count="9">
        <item x="4"/>
        <item x="7"/>
        <item x="6"/>
        <item x="3"/>
        <item x="2"/>
        <item x="5"/>
        <item x="1"/>
        <item x="0"/>
        <item t="default"/>
      </items>
    </pivotField>
    <pivotField numFmtId="1" showAll="0"/>
    <pivotField numFmtId="1" showAll="0"/>
    <pivotField numFmtId="1" showAll="0"/>
    <pivotField numFmtId="9" showAll="0"/>
    <pivotField showAll="0">
      <items count="4">
        <item x="0"/>
        <item x="2"/>
        <item x="1"/>
        <item t="default"/>
      </items>
    </pivotField>
    <pivotField showAll="0"/>
    <pivotField showAll="0"/>
    <pivotField axis="axisRow" showAll="0">
      <items count="6">
        <item h="1" m="1" x="4"/>
        <item x="3"/>
        <item x="2"/>
        <item x="1"/>
        <item x="0"/>
        <item t="default"/>
      </items>
    </pivotField>
  </pivotFields>
  <rowFields count="1">
    <field x="9"/>
  </rowFields>
  <rowItems count="5">
    <i>
      <x v="1"/>
    </i>
    <i>
      <x v="2"/>
    </i>
    <i>
      <x v="3"/>
    </i>
    <i>
      <x v="4"/>
    </i>
    <i t="grand">
      <x/>
    </i>
  </rowItems>
  <colItems count="1">
    <i/>
  </colItems>
  <dataFields count="1">
    <dataField name="Count of Products" fld="0" subtotal="count" baseField="0" baseItem="0"/>
  </dataFields>
  <chartFormats count="11">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1"/>
          </reference>
        </references>
      </pivotArea>
    </chartFormat>
    <chartFormat chart="6" format="8">
      <pivotArea type="data" outline="0" fieldPosition="0">
        <references count="2">
          <reference field="4294967294" count="1" selected="0">
            <x v="0"/>
          </reference>
          <reference field="9" count="1" selected="0">
            <x v="2"/>
          </reference>
        </references>
      </pivotArea>
    </chartFormat>
    <chartFormat chart="6" format="9">
      <pivotArea type="data" outline="0" fieldPosition="0">
        <references count="2">
          <reference field="4294967294" count="1" selected="0">
            <x v="0"/>
          </reference>
          <reference field="9" count="1" selected="0">
            <x v="3"/>
          </reference>
        </references>
      </pivotArea>
    </chartFormat>
    <chartFormat chart="6" format="10">
      <pivotArea type="data" outline="0" fieldPosition="0">
        <references count="2">
          <reference field="4294967294" count="1" selected="0">
            <x v="0"/>
          </reference>
          <reference field="9"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9" count="1" selected="0">
            <x v="1"/>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 chart="9" format="9">
      <pivotArea type="data" outline="0" fieldPosition="0">
        <references count="2">
          <reference field="4294967294" count="1" selected="0">
            <x v="0"/>
          </reference>
          <reference field="9" count="1" selected="0">
            <x v="3"/>
          </reference>
        </references>
      </pivotArea>
    </chartFormat>
    <chartFormat chart="9" format="10">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62EC5A-1AD9-457E-A54D-D0B01DC2AD12}"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0">
    <pivotField axis="axisRow" showAll="0" measureFilter="1">
      <items count="115">
        <item x="62"/>
        <item x="72"/>
        <item m="1" x="113"/>
        <item x="64"/>
        <item x="76"/>
        <item x="73"/>
        <item x="26"/>
        <item x="79"/>
        <item x="45"/>
        <item x="84"/>
        <item x="85"/>
        <item x="104"/>
        <item x="97"/>
        <item x="108"/>
        <item x="12"/>
        <item x="63"/>
        <item x="38"/>
        <item x="60"/>
        <item x="13"/>
        <item x="20"/>
        <item x="48"/>
        <item x="8"/>
        <item x="29"/>
        <item x="39"/>
        <item x="25"/>
        <item x="52"/>
        <item x="95"/>
        <item x="77"/>
        <item x="80"/>
        <item x="81"/>
        <item x="67"/>
        <item x="2"/>
        <item x="0"/>
        <item x="37"/>
        <item x="75"/>
        <item x="30"/>
        <item x="36"/>
        <item x="53"/>
        <item x="56"/>
        <item x="47"/>
        <item x="22"/>
        <item m="1" x="110"/>
        <item x="11"/>
        <item x="46"/>
        <item x="24"/>
        <item x="54"/>
        <item x="21"/>
        <item x="41"/>
        <item x="17"/>
        <item x="23"/>
        <item x="28"/>
        <item x="70"/>
        <item x="14"/>
        <item x="33"/>
        <item x="7"/>
        <item x="1"/>
        <item x="100"/>
        <item x="57"/>
        <item x="66"/>
        <item x="59"/>
        <item x="35"/>
        <item x="69"/>
        <item x="10"/>
        <item x="86"/>
        <item x="90"/>
        <item x="27"/>
        <item m="1" x="109"/>
        <item x="9"/>
        <item x="89"/>
        <item x="78"/>
        <item x="5"/>
        <item x="19"/>
        <item x="55"/>
        <item x="3"/>
        <item x="61"/>
        <item m="1" x="111"/>
        <item x="31"/>
        <item x="68"/>
        <item x="71"/>
        <item x="91"/>
        <item x="43"/>
        <item x="40"/>
        <item x="99"/>
        <item x="18"/>
        <item x="74"/>
        <item x="49"/>
        <item x="42"/>
        <item x="101"/>
        <item x="6"/>
        <item x="94"/>
        <item x="96"/>
        <item m="1" x="112"/>
        <item x="44"/>
        <item x="105"/>
        <item x="88"/>
        <item x="82"/>
        <item x="83"/>
        <item x="107"/>
        <item x="92"/>
        <item x="32"/>
        <item x="58"/>
        <item x="34"/>
        <item x="102"/>
        <item x="106"/>
        <item x="4"/>
        <item x="103"/>
        <item x="87"/>
        <item x="15"/>
        <item x="98"/>
        <item x="16"/>
        <item x="93"/>
        <item x="51"/>
        <item x="65"/>
        <item x="50"/>
        <item t="default"/>
      </items>
    </pivotField>
    <pivotField showAll="0">
      <items count="9">
        <item x="4"/>
        <item x="7"/>
        <item x="6"/>
        <item x="3"/>
        <item x="2"/>
        <item x="5"/>
        <item x="1"/>
        <item x="0"/>
        <item t="default"/>
      </items>
    </pivotField>
    <pivotField numFmtId="1" showAll="0"/>
    <pivotField numFmtId="1" showAll="0"/>
    <pivotField numFmtId="1" showAll="0"/>
    <pivotField dataField="1" numFmtId="9" showAll="0">
      <items count="47">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2"/>
        <item x="1"/>
        <item t="default"/>
      </items>
    </pivotField>
    <pivotField showAll="0"/>
    <pivotField showAll="0"/>
    <pivotField showAll="0">
      <items count="6">
        <item h="1" m="1" x="4"/>
        <item x="3"/>
        <item x="2"/>
        <item x="1"/>
        <item x="0"/>
        <item t="default"/>
      </items>
    </pivotField>
  </pivotFields>
  <rowFields count="1">
    <field x="0"/>
  </rowFields>
  <rowItems count="11">
    <i>
      <x v="21"/>
    </i>
    <i>
      <x v="31"/>
    </i>
    <i>
      <x v="32"/>
    </i>
    <i>
      <x v="54"/>
    </i>
    <i>
      <x v="55"/>
    </i>
    <i>
      <x v="62"/>
    </i>
    <i>
      <x v="67"/>
    </i>
    <i>
      <x v="70"/>
    </i>
    <i>
      <x v="73"/>
    </i>
    <i>
      <x v="88"/>
    </i>
    <i t="grand">
      <x/>
    </i>
  </rowItems>
  <colItems count="1">
    <i/>
  </colItems>
  <dataFields count="1">
    <dataField name="Average of Discount" fld="5" subtotal="average" baseField="0" baseItem="0" numFmtId="9"/>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1BDFE12-9089-4F61-8BE3-FA5078B7B576}" sourceName="Product Category">
  <pivotTables>
    <pivotTable tabId="29" name="PivotTable21"/>
    <pivotTable tabId="22" name="PivotTable9"/>
    <pivotTable tabId="28" name="PivotTable20"/>
    <pivotTable tabId="30" name="PivotTable22"/>
    <pivotTable tabId="31" name="PivotTable23"/>
    <pivotTable tabId="20" name="PivotTable1"/>
    <pivotTable tabId="27" name="PivotTable16"/>
  </pivotTables>
  <data>
    <tabular pivotCacheId="878063527">
      <items count="8">
        <i x="4" s="1"/>
        <i x="7" s="1"/>
        <i x="6" s="1"/>
        <i x="3" s="1"/>
        <i x="2"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DECCF13D-0AD6-4AAA-AC63-44F79C6647A0}" sourceName="Discount Category">
  <pivotTables>
    <pivotTable tabId="29" name="PivotTable21"/>
    <pivotTable tabId="22" name="PivotTable9"/>
    <pivotTable tabId="28" name="PivotTable20"/>
    <pivotTable tabId="30" name="PivotTable22"/>
    <pivotTable tabId="31" name="PivotTable23"/>
    <pivotTable tabId="20" name="PivotTable1"/>
    <pivotTable tabId="27" name="PivotTable16"/>
  </pivotTables>
  <data>
    <tabular pivotCacheId="87806352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863B6A81-EBA2-4BEA-982F-A68A7B5D69E6}" sourceName="Rating Category">
  <pivotTables>
    <pivotTable tabId="29" name="PivotTable21"/>
    <pivotTable tabId="22" name="PivotTable9"/>
    <pivotTable tabId="28" name="PivotTable20"/>
    <pivotTable tabId="30" name="PivotTable22"/>
    <pivotTable tabId="31" name="PivotTable23"/>
    <pivotTable tabId="20" name="PivotTable1"/>
    <pivotTable tabId="27" name="PivotTable16"/>
  </pivotTables>
  <data>
    <tabular pivotCacheId="878063527">
      <items count="5">
        <i x="3" s="1"/>
        <i x="2" s="1"/>
        <i x="1" s="1"/>
        <i x="0"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EC3C1D26-08FB-4D01-A832-33DEA1D743A0}" cache="Slicer_Product_Category" caption="Product Category" startItem="2" rowHeight="251883"/>
  <slicer name="Discount Category 1" xr10:uid="{42013A6A-A31D-464F-B6C6-B2C60B6EA966}" cache="Slicer_Discount_Category" caption="Discount Category" rowHeight="251883"/>
  <slicer name="Rating Category 1" xr10:uid="{42829A8C-4876-401A-BF18-CD8046A33342}" cache="Slicer_Rating_Category" caption="Rating 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A498B8A-2CF7-417A-B766-A3901FBE09FE}" cache="Slicer_Product_Category" caption="Product Category" rowHeight="251883"/>
  <slicer name="Discount Category" xr10:uid="{66F4780A-8EB9-4358-9225-D7A4F12365F1}" cache="Slicer_Discount_Category" caption="Discount Category" rowHeight="251883"/>
  <slicer name="Rating Category" xr10:uid="{AB1ADB74-82A9-4905-942A-9C195856C81F}" cache="Slicer_Rating_Category" caption="Rating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E1B5EE-7DF7-4E6E-A46B-E46A74934CFD}" name="TableJumiaProducts" displayName="TableJumiaProducts" ref="A1:J113" totalsRowShown="0" headerRowDxfId="34" dataDxfId="32" headerRowBorderDxfId="33" tableBorderDxfId="31" totalsRowBorderDxfId="30">
  <autoFilter ref="A1:J113" xr:uid="{1EE1B5EE-7DF7-4E6E-A46B-E46A74934CFD}"/>
  <tableColumns count="10">
    <tableColumn id="1" xr3:uid="{FFEF806E-1A74-4582-867D-9FD9520B9DA1}" name="Products" dataDxfId="29"/>
    <tableColumn id="2" xr3:uid="{71CFA87C-4A6C-4672-B468-7FEBE904D9A6}" name="Product Category" dataDxfId="28"/>
    <tableColumn id="3" xr3:uid="{C6C8F35D-89EB-460C-A49B-21E5F80A640C}" name="Current Price" dataDxfId="27"/>
    <tableColumn id="4" xr3:uid="{81279208-3875-40BE-860F-1AE466035008}" name="Old Price" dataDxfId="26"/>
    <tableColumn id="5" xr3:uid="{9ACDBA71-644A-4916-80F3-9F8BB56075D1}" name="Absolute Discount" dataDxfId="25">
      <calculatedColumnFormula>D2-C2</calculatedColumnFormula>
    </tableColumn>
    <tableColumn id="6" xr3:uid="{4B4ABB0F-2438-4030-B5E8-F2A6461A409D}" name="Discount" dataDxfId="24"/>
    <tableColumn id="11" xr3:uid="{1AF540A5-353C-4F4D-B12E-02C1DF1B0482}" name="Discount Category" dataDxfId="23">
      <calculatedColumnFormula>IF(TableJumiaProducts[[#This Row],[Discount]]&lt;20%, "Low Discount", IF(TableJumiaProducts[[#This Row],[Discount]]&lt;=40%, "Medium Discount", "High Discount"))</calculatedColumnFormula>
    </tableColumn>
    <tableColumn id="7" xr3:uid="{177940C9-C364-4E38-AD57-974E5FABDA3C}" name="Reviews" dataDxfId="22"/>
    <tableColumn id="8" xr3:uid="{2DEBA14E-B860-4357-860C-60E45E93A54F}" name="Rating" dataDxfId="21"/>
    <tableColumn id="10" xr3:uid="{6F96BFDC-FE58-45A1-B2EB-E1EEF92A6815}" name="Rating Category" dataDxfId="20">
      <calculatedColumnFormula>IF(TableJumiaProducts[[#This Row],[Rating]]="","Uknown", IF(TableJumiaProducts[[#This Row],[Rating]]&lt;3, "Poor", IF(TableJumiaProducts[[#This Row],[Rating]]&lt;4.5, "Average", "Excellent")))</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FDAEBF-8DC7-4A38-8779-F449445DDEC1}" name="Table7" displayName="Table7" ref="A7:D9" totalsRowShown="0">
  <autoFilter ref="A7:D9" xr:uid="{D5FDAEBF-8DC7-4A38-8779-F449445DDEC1}"/>
  <tableColumns count="4">
    <tableColumn id="1" xr3:uid="{F5BB2921-AF2D-4E8C-893A-6A2629A7208D}" name="Column1"/>
    <tableColumn id="4" xr3:uid="{FA54A1BE-DA88-4F68-B307-9F691C3B2D80}" name="Product" dataDxfId="19"/>
    <tableColumn id="5" xr3:uid="{5C1C770D-BA40-4195-9F97-A55987A204C7}" name="Category"/>
    <tableColumn id="6" xr3:uid="{B889C0AB-30E1-4D03-9D1E-1FCD96B50A7B}" name="Current Price"/>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4BE70E-B334-49D2-9A8C-262BD03E1264}" name="Table9" displayName="Table9" ref="A1:B5" totalsRowShown="0" headerRowDxfId="18">
  <tableColumns count="2">
    <tableColumn id="1" xr3:uid="{DBCA5C12-C330-42B5-A339-400ED25C0D55}" name="Overview - Average Metrics"/>
    <tableColumn id="3" xr3:uid="{092F59EC-3DCC-45BE-8B46-126714D878AE}" name="Column1"/>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0079-ACA9-4A0B-859F-9E7A8300B4BF}">
  <dimension ref="A1:O113"/>
  <sheetViews>
    <sheetView workbookViewId="0">
      <pane xSplit="1" ySplit="1" topLeftCell="B2" activePane="bottomRight" state="frozen"/>
      <selection pane="topRight" activeCell="B1" sqref="B1"/>
      <selection pane="bottomLeft" activeCell="A2" sqref="A2"/>
      <selection pane="bottomRight" activeCell="A15" sqref="A15"/>
    </sheetView>
  </sheetViews>
  <sheetFormatPr defaultRowHeight="14" x14ac:dyDescent="0.3"/>
  <cols>
    <col min="1" max="1" width="86.1796875" style="15" bestFit="1" customWidth="1"/>
    <col min="2" max="2" width="19.54296875" style="15" customWidth="1"/>
    <col min="3" max="3" width="16" style="14" customWidth="1"/>
    <col min="4" max="4" width="11.90625" style="14" customWidth="1"/>
    <col min="5" max="5" width="19.7265625" style="15" customWidth="1"/>
    <col min="6" max="6" width="11.26953125" style="15" bestFit="1" customWidth="1"/>
    <col min="7" max="7" width="20.6328125" style="15" bestFit="1" customWidth="1"/>
    <col min="8" max="8" width="9.54296875" style="15" bestFit="1" customWidth="1"/>
    <col min="9" max="9" width="9.08984375" style="15" customWidth="1"/>
    <col min="10" max="10" width="19.08984375" style="15" bestFit="1" customWidth="1"/>
    <col min="11" max="11" width="8.7265625" style="15"/>
    <col min="12" max="12" width="35.81640625" style="15" bestFit="1" customWidth="1"/>
    <col min="13" max="13" width="11.453125" style="15" customWidth="1"/>
    <col min="14" max="16384" width="8.7265625" style="15"/>
  </cols>
  <sheetData>
    <row r="1" spans="1:14" s="37" customFormat="1" ht="16" x14ac:dyDescent="0.4">
      <c r="A1" s="33" t="s">
        <v>150</v>
      </c>
      <c r="B1" s="34" t="s">
        <v>143</v>
      </c>
      <c r="C1" s="35" t="s">
        <v>108</v>
      </c>
      <c r="D1" s="35" t="s">
        <v>107</v>
      </c>
      <c r="E1" s="34" t="s">
        <v>121</v>
      </c>
      <c r="F1" s="34" t="s">
        <v>2</v>
      </c>
      <c r="G1" s="34" t="s">
        <v>144</v>
      </c>
      <c r="H1" s="34" t="s">
        <v>149</v>
      </c>
      <c r="I1" s="36" t="s">
        <v>106</v>
      </c>
      <c r="J1" s="34" t="s">
        <v>122</v>
      </c>
    </row>
    <row r="2" spans="1:14" ht="14.5" x14ac:dyDescent="0.35">
      <c r="A2" s="25" t="s">
        <v>102</v>
      </c>
      <c r="B2" s="7" t="s">
        <v>133</v>
      </c>
      <c r="C2" s="8">
        <v>199</v>
      </c>
      <c r="D2" s="8">
        <v>553</v>
      </c>
      <c r="E2" s="20">
        <f>D2-C2</f>
        <v>354</v>
      </c>
      <c r="F2" s="9">
        <v>0.64</v>
      </c>
      <c r="G2" s="9" t="str">
        <f>IF(TableJumiaProducts[[#This Row],[Discount]]&lt;20%, "Low Discount", IF(TableJumiaProducts[[#This Row],[Discount]]&lt;=40%, "Medium Discount", "High Discount"))</f>
        <v>High Discount</v>
      </c>
      <c r="H2" s="7"/>
      <c r="I2" s="21"/>
      <c r="J2" s="7" t="str">
        <f>IF(TableJumiaProducts[[#This Row],[Rating]]="","Uknown", IF(TableJumiaProducts[[#This Row],[Rating]]&lt;3, "Poor", IF(TableJumiaProducts[[#This Row],[Rating]]&lt;4.5, "Average", "Excellent")))</f>
        <v>Uknown</v>
      </c>
    </row>
    <row r="3" spans="1:14" ht="14.5" x14ac:dyDescent="0.35">
      <c r="A3" s="26" t="s">
        <v>45</v>
      </c>
      <c r="B3" s="10" t="s">
        <v>132</v>
      </c>
      <c r="C3" s="11">
        <v>199</v>
      </c>
      <c r="D3" s="11">
        <v>504</v>
      </c>
      <c r="E3" s="20">
        <f t="shared" ref="E3:E66" si="0">D3-C3</f>
        <v>305</v>
      </c>
      <c r="F3" s="12">
        <v>0.61</v>
      </c>
      <c r="G3" s="12" t="str">
        <f>IF(TableJumiaProducts[[#This Row],[Discount]]&lt;20%, "Low Discount", IF(TableJumiaProducts[[#This Row],[Discount]]&lt;=40%, "Medium Discount", "High Discount"))</f>
        <v>High Discount</v>
      </c>
      <c r="H3" s="10"/>
      <c r="I3" s="22"/>
      <c r="J3" s="10" t="str">
        <f>IF(TableJumiaProducts[[#This Row],[Rating]]="","Uknown", IF(TableJumiaProducts[[#This Row],[Rating]]&lt;3, "Poor", IF(TableJumiaProducts[[#This Row],[Rating]]&lt;4.5, "Average", "Excellent")))</f>
        <v>Uknown</v>
      </c>
      <c r="L3" s="15" t="s">
        <v>109</v>
      </c>
      <c r="M3" s="15" t="s">
        <v>110</v>
      </c>
      <c r="N3" s="15">
        <f>COUNTBLANK('Clean Dataset'!$A$2:$I$113)</f>
        <v>110</v>
      </c>
    </row>
    <row r="4" spans="1:14" ht="14.5" x14ac:dyDescent="0.35">
      <c r="A4" s="25" t="s">
        <v>57</v>
      </c>
      <c r="B4" s="7" t="s">
        <v>133</v>
      </c>
      <c r="C4" s="8">
        <v>2115</v>
      </c>
      <c r="D4" s="8">
        <v>4700</v>
      </c>
      <c r="E4" s="20">
        <f t="shared" si="0"/>
        <v>2585</v>
      </c>
      <c r="F4" s="9">
        <v>0.55000000000000004</v>
      </c>
      <c r="G4" s="9" t="str">
        <f>IF(TableJumiaProducts[[#This Row],[Discount]]&lt;20%, "Low Discount", IF(TableJumiaProducts[[#This Row],[Discount]]&lt;=40%, "Medium Discount", "High Discount"))</f>
        <v>High Discount</v>
      </c>
      <c r="H4" s="7">
        <v>13</v>
      </c>
      <c r="I4" s="21">
        <v>2.1</v>
      </c>
      <c r="J4" s="7" t="str">
        <f>IF(TableJumiaProducts[[#This Row],[Rating]]="","Uknown", IF(TableJumiaProducts[[#This Row],[Rating]]&lt;3, "Poor", IF(TableJumiaProducts[[#This Row],[Rating]]&lt;4.5, "Average", "Excellent")))</f>
        <v>Poor</v>
      </c>
      <c r="M4" s="15" t="s">
        <v>0</v>
      </c>
      <c r="N4" s="15">
        <f>COUNTBLANK('Clean Dataset'!$A$2:$A$113)</f>
        <v>0</v>
      </c>
    </row>
    <row r="5" spans="1:14" ht="14.5" x14ac:dyDescent="0.35">
      <c r="A5" s="26" t="s">
        <v>137</v>
      </c>
      <c r="B5" s="10" t="s">
        <v>133</v>
      </c>
      <c r="C5" s="11">
        <v>1274</v>
      </c>
      <c r="D5" s="11">
        <v>2800</v>
      </c>
      <c r="E5" s="20">
        <f t="shared" si="0"/>
        <v>1526</v>
      </c>
      <c r="F5" s="12">
        <v>0.55000000000000004</v>
      </c>
      <c r="G5" s="12" t="str">
        <f>IF(TableJumiaProducts[[#This Row],[Discount]]&lt;20%, "Low Discount", IF(TableJumiaProducts[[#This Row],[Discount]]&lt;=40%, "Medium Discount", "High Discount"))</f>
        <v>High Discount</v>
      </c>
      <c r="H5" s="10">
        <v>5</v>
      </c>
      <c r="I5" s="22">
        <v>4.8</v>
      </c>
      <c r="J5" s="10" t="str">
        <f>IF(TableJumiaProducts[[#This Row],[Rating]]="","Uknown", IF(TableJumiaProducts[[#This Row],[Rating]]&lt;3, "Poor", IF(TableJumiaProducts[[#This Row],[Rating]]&lt;4.5, "Average", "Excellent")))</f>
        <v>Excellent</v>
      </c>
      <c r="M5" s="15" t="s">
        <v>1</v>
      </c>
      <c r="N5" s="15">
        <f>COUNTBLANK('Clean Dataset'!$C$2:$C$113)</f>
        <v>0</v>
      </c>
    </row>
    <row r="6" spans="1:14" ht="14.5" x14ac:dyDescent="0.35">
      <c r="A6" s="25" t="s">
        <v>51</v>
      </c>
      <c r="B6" s="7" t="s">
        <v>132</v>
      </c>
      <c r="C6" s="8">
        <v>399</v>
      </c>
      <c r="D6" s="8">
        <v>896</v>
      </c>
      <c r="E6" s="20">
        <f t="shared" si="0"/>
        <v>497</v>
      </c>
      <c r="F6" s="9">
        <v>0.55000000000000004</v>
      </c>
      <c r="G6" s="9" t="str">
        <f>IF(TableJumiaProducts[[#This Row],[Discount]]&lt;20%, "Low Discount", IF(TableJumiaProducts[[#This Row],[Discount]]&lt;=40%, "Medium Discount", "High Discount"))</f>
        <v>High Discount</v>
      </c>
      <c r="H6" s="7"/>
      <c r="I6" s="21"/>
      <c r="J6" s="7" t="str">
        <f>IF(TableJumiaProducts[[#This Row],[Rating]]="","Uknown", IF(TableJumiaProducts[[#This Row],[Rating]]&lt;3, "Poor", IF(TableJumiaProducts[[#This Row],[Rating]]&lt;4.5, "Average", "Excellent")))</f>
        <v>Uknown</v>
      </c>
      <c r="M6" s="15" t="s">
        <v>105</v>
      </c>
      <c r="N6" s="15">
        <f>COUNTBLANK('Clean Dataset'!$D$2:$D$113)</f>
        <v>0</v>
      </c>
    </row>
    <row r="7" spans="1:14" ht="14.5" x14ac:dyDescent="0.35">
      <c r="A7" s="26" t="s">
        <v>23</v>
      </c>
      <c r="B7" s="10" t="s">
        <v>132</v>
      </c>
      <c r="C7" s="11">
        <v>2048</v>
      </c>
      <c r="D7" s="11">
        <v>4500</v>
      </c>
      <c r="E7" s="20">
        <f t="shared" si="0"/>
        <v>2452</v>
      </c>
      <c r="F7" s="12">
        <v>0.54</v>
      </c>
      <c r="G7" s="12" t="str">
        <f>IF(TableJumiaProducts[[#This Row],[Discount]]&lt;20%, "Low Discount", IF(TableJumiaProducts[[#This Row],[Discount]]&lt;=40%, "Medium Discount", "High Discount"))</f>
        <v>High Discount</v>
      </c>
      <c r="H7" s="10">
        <v>7</v>
      </c>
      <c r="I7" s="22">
        <v>4.3</v>
      </c>
      <c r="J7" s="10" t="str">
        <f>IF(TableJumiaProducts[[#This Row],[Rating]]="","Uknown", IF(TableJumiaProducts[[#This Row],[Rating]]&lt;3, "Poor", IF(TableJumiaProducts[[#This Row],[Rating]]&lt;4.5, "Average", "Excellent")))</f>
        <v>Average</v>
      </c>
      <c r="M7" s="15" t="s">
        <v>2</v>
      </c>
      <c r="N7" s="15">
        <f>COUNTBLANK('Clean Dataset'!$F$2:$F$113)</f>
        <v>0</v>
      </c>
    </row>
    <row r="8" spans="1:14" ht="14.5" x14ac:dyDescent="0.35">
      <c r="A8" s="25" t="s">
        <v>56</v>
      </c>
      <c r="B8" s="7" t="s">
        <v>136</v>
      </c>
      <c r="C8" s="8">
        <v>458</v>
      </c>
      <c r="D8" s="8">
        <v>986</v>
      </c>
      <c r="E8" s="20">
        <f t="shared" si="0"/>
        <v>528</v>
      </c>
      <c r="F8" s="9">
        <v>0.54</v>
      </c>
      <c r="G8" s="9" t="str">
        <f>IF(TableJumiaProducts[[#This Row],[Discount]]&lt;20%, "Low Discount", IF(TableJumiaProducts[[#This Row],[Discount]]&lt;=40%, "Medium Discount", "High Discount"))</f>
        <v>High Discount</v>
      </c>
      <c r="H8" s="7">
        <v>10</v>
      </c>
      <c r="I8" s="21">
        <v>3</v>
      </c>
      <c r="J8" s="7" t="str">
        <f>IF(TableJumiaProducts[[#This Row],[Rating]]="","Uknown", IF(TableJumiaProducts[[#This Row],[Rating]]&lt;3, "Poor", IF(TableJumiaProducts[[#This Row],[Rating]]&lt;4.5, "Average", "Excellent")))</f>
        <v>Average</v>
      </c>
      <c r="M8" s="15" t="s">
        <v>111</v>
      </c>
      <c r="N8" s="15">
        <f>COUNTBLANK(H2:H113)</f>
        <v>55</v>
      </c>
    </row>
    <row r="9" spans="1:14" ht="14.5" x14ac:dyDescent="0.35">
      <c r="A9" s="25" t="s">
        <v>33</v>
      </c>
      <c r="B9" s="7" t="s">
        <v>132</v>
      </c>
      <c r="C9" s="8">
        <v>171</v>
      </c>
      <c r="D9" s="8">
        <v>360</v>
      </c>
      <c r="E9" s="20">
        <f t="shared" si="0"/>
        <v>189</v>
      </c>
      <c r="F9" s="9">
        <v>0.53</v>
      </c>
      <c r="G9" s="9" t="str">
        <f>IF(TableJumiaProducts[[#This Row],[Discount]]&lt;20%, "Low Discount", IF(TableJumiaProducts[[#This Row],[Discount]]&lt;=40%, "Medium Discount", "High Discount"))</f>
        <v>High Discount</v>
      </c>
      <c r="H9" s="7">
        <v>2</v>
      </c>
      <c r="I9" s="21">
        <v>5</v>
      </c>
      <c r="J9" s="7" t="str">
        <f>IF(TableJumiaProducts[[#This Row],[Rating]]="","Uknown", IF(TableJumiaProducts[[#This Row],[Rating]]&lt;3, "Poor", IF(TableJumiaProducts[[#This Row],[Rating]]&lt;4.5, "Average", "Excellent")))</f>
        <v>Excellent</v>
      </c>
      <c r="M9" s="15" t="s">
        <v>106</v>
      </c>
      <c r="N9" s="15">
        <f>COUNTBLANK(I2:I113)</f>
        <v>55</v>
      </c>
    </row>
    <row r="10" spans="1:14" ht="14.5" x14ac:dyDescent="0.35">
      <c r="A10" s="25" t="s">
        <v>19</v>
      </c>
      <c r="B10" s="7" t="s">
        <v>134</v>
      </c>
      <c r="C10" s="8">
        <v>38</v>
      </c>
      <c r="D10" s="8">
        <v>80</v>
      </c>
      <c r="E10" s="20">
        <f t="shared" si="0"/>
        <v>42</v>
      </c>
      <c r="F10" s="9">
        <v>0.53</v>
      </c>
      <c r="G10" s="9" t="str">
        <f>IF(TableJumiaProducts[[#This Row],[Discount]]&lt;20%, "Low Discount", IF(TableJumiaProducts[[#This Row],[Discount]]&lt;=40%, "Medium Discount", "High Discount"))</f>
        <v>High Discount</v>
      </c>
      <c r="H10" s="7">
        <v>13</v>
      </c>
      <c r="I10" s="21">
        <v>3.3</v>
      </c>
      <c r="J10" s="7" t="str">
        <f>IF(TableJumiaProducts[[#This Row],[Rating]]="","Uknown", IF(TableJumiaProducts[[#This Row],[Rating]]&lt;3, "Poor", IF(TableJumiaProducts[[#This Row],[Rating]]&lt;4.5, "Average", "Excellent")))</f>
        <v>Average</v>
      </c>
      <c r="L10" s="15" t="s">
        <v>112</v>
      </c>
      <c r="M10" s="15" t="s">
        <v>113</v>
      </c>
    </row>
    <row r="11" spans="1:14" ht="14.5" x14ac:dyDescent="0.35">
      <c r="A11" s="26" t="s">
        <v>152</v>
      </c>
      <c r="B11" s="10" t="s">
        <v>131</v>
      </c>
      <c r="C11" s="11">
        <v>325</v>
      </c>
      <c r="D11" s="11">
        <v>680</v>
      </c>
      <c r="E11" s="20">
        <f t="shared" si="0"/>
        <v>355</v>
      </c>
      <c r="F11" s="12">
        <v>0.52</v>
      </c>
      <c r="G11" s="12" t="str">
        <f>IF(TableJumiaProducts[[#This Row],[Discount]]&lt;20%, "Low Discount", IF(TableJumiaProducts[[#This Row],[Discount]]&lt;=40%, "Medium Discount", "High Discount"))</f>
        <v>High Discount</v>
      </c>
      <c r="H11" s="10">
        <v>15</v>
      </c>
      <c r="I11" s="22">
        <v>2.7</v>
      </c>
      <c r="J11" s="10" t="str">
        <f>IF(TableJumiaProducts[[#This Row],[Rating]]="","Uknown", IF(TableJumiaProducts[[#This Row],[Rating]]&lt;3, "Poor", IF(TableJumiaProducts[[#This Row],[Rating]]&lt;4.5, "Average", "Excellent")))</f>
        <v>Poor</v>
      </c>
    </row>
    <row r="12" spans="1:14" ht="14.5" x14ac:dyDescent="0.35">
      <c r="A12" s="25" t="s">
        <v>28</v>
      </c>
      <c r="B12" s="7" t="s">
        <v>139</v>
      </c>
      <c r="C12" s="8">
        <v>185</v>
      </c>
      <c r="D12" s="8">
        <v>382</v>
      </c>
      <c r="E12" s="20">
        <f t="shared" si="0"/>
        <v>197</v>
      </c>
      <c r="F12" s="9">
        <v>0.52</v>
      </c>
      <c r="G12" s="9" t="str">
        <f>IF(TableJumiaProducts[[#This Row],[Discount]]&lt;20%, "Low Discount", IF(TableJumiaProducts[[#This Row],[Discount]]&lt;=40%, "Medium Discount", "High Discount"))</f>
        <v>High Discount</v>
      </c>
      <c r="H12" s="7">
        <v>9</v>
      </c>
      <c r="I12" s="21">
        <v>4.3</v>
      </c>
      <c r="J12" s="7" t="str">
        <f>IF(TableJumiaProducts[[#This Row],[Rating]]="","Uknown", IF(TableJumiaProducts[[#This Row],[Rating]]&lt;3, "Poor", IF(TableJumiaProducts[[#This Row],[Rating]]&lt;4.5, "Average", "Excellent")))</f>
        <v>Average</v>
      </c>
      <c r="L12" s="15" t="s">
        <v>115</v>
      </c>
    </row>
    <row r="13" spans="1:14" ht="14.5" x14ac:dyDescent="0.35">
      <c r="A13" s="26" t="s">
        <v>153</v>
      </c>
      <c r="B13" s="10" t="s">
        <v>132</v>
      </c>
      <c r="C13" s="11">
        <v>332</v>
      </c>
      <c r="D13" s="11">
        <v>684</v>
      </c>
      <c r="E13" s="20">
        <f t="shared" si="0"/>
        <v>352</v>
      </c>
      <c r="F13" s="12">
        <v>0.51</v>
      </c>
      <c r="G13" s="12" t="str">
        <f>IF(TableJumiaProducts[[#This Row],[Discount]]&lt;20%, "Low Discount", IF(TableJumiaProducts[[#This Row],[Discount]]&lt;=40%, "Medium Discount", "High Discount"))</f>
        <v>High Discount</v>
      </c>
      <c r="H13" s="10">
        <v>2</v>
      </c>
      <c r="I13" s="22">
        <v>5</v>
      </c>
      <c r="J13" s="10" t="str">
        <f>IF(TableJumiaProducts[[#This Row],[Rating]]="","Uknown", IF(TableJumiaProducts[[#This Row],[Rating]]&lt;3, "Poor", IF(TableJumiaProducts[[#This Row],[Rating]]&lt;4.5, "Average", "Excellent")))</f>
        <v>Excellent</v>
      </c>
      <c r="M13" s="16" t="s">
        <v>116</v>
      </c>
    </row>
    <row r="14" spans="1:14" ht="14.5" x14ac:dyDescent="0.35">
      <c r="A14" s="25" t="s">
        <v>87</v>
      </c>
      <c r="B14" s="7" t="s">
        <v>138</v>
      </c>
      <c r="C14" s="8">
        <v>1200</v>
      </c>
      <c r="D14" s="8">
        <v>2400</v>
      </c>
      <c r="E14" s="20">
        <f t="shared" si="0"/>
        <v>1200</v>
      </c>
      <c r="F14" s="9">
        <v>0.5</v>
      </c>
      <c r="G14" s="9" t="str">
        <f>IF(TableJumiaProducts[[#This Row],[Discount]]&lt;20%, "Low Discount", IF(TableJumiaProducts[[#This Row],[Discount]]&lt;=40%, "Medium Discount", "High Discount"))</f>
        <v>High Discount</v>
      </c>
      <c r="H14" s="7"/>
      <c r="I14" s="21"/>
      <c r="J14" s="7" t="str">
        <f>IF(TableJumiaProducts[[#This Row],[Rating]]="","Uknown", IF(TableJumiaProducts[[#This Row],[Rating]]&lt;3, "Poor", IF(TableJumiaProducts[[#This Row],[Rating]]&lt;4.5, "Average", "Excellent")))</f>
        <v>Uknown</v>
      </c>
      <c r="M14" s="16" t="s">
        <v>117</v>
      </c>
    </row>
    <row r="15" spans="1:14" ht="14.5" x14ac:dyDescent="0.35">
      <c r="A15" s="25" t="s">
        <v>61</v>
      </c>
      <c r="B15" s="7" t="s">
        <v>131</v>
      </c>
      <c r="C15" s="8">
        <v>1000</v>
      </c>
      <c r="D15" s="8">
        <v>2000</v>
      </c>
      <c r="E15" s="20">
        <f t="shared" si="0"/>
        <v>1000</v>
      </c>
      <c r="F15" s="9">
        <v>0.5</v>
      </c>
      <c r="G15" s="9" t="str">
        <f>IF(TableJumiaProducts[[#This Row],[Discount]]&lt;20%, "Low Discount", IF(TableJumiaProducts[[#This Row],[Discount]]&lt;=40%, "Medium Discount", "High Discount"))</f>
        <v>High Discount</v>
      </c>
      <c r="H15" s="7">
        <v>7</v>
      </c>
      <c r="I15" s="21">
        <v>2.2999999999999998</v>
      </c>
      <c r="J15" s="7" t="str">
        <f>IF(TableJumiaProducts[[#This Row],[Rating]]="","Uknown", IF(TableJumiaProducts[[#This Row],[Rating]]&lt;3, "Poor", IF(TableJumiaProducts[[#This Row],[Rating]]&lt;4.5, "Average", "Excellent")))</f>
        <v>Poor</v>
      </c>
      <c r="M15" s="16" t="s">
        <v>118</v>
      </c>
    </row>
    <row r="16" spans="1:14" ht="14.5" x14ac:dyDescent="0.35">
      <c r="A16" s="25" t="s">
        <v>41</v>
      </c>
      <c r="B16" s="7" t="s">
        <v>136</v>
      </c>
      <c r="C16" s="8">
        <v>999</v>
      </c>
      <c r="D16" s="8">
        <v>2000</v>
      </c>
      <c r="E16" s="20">
        <f t="shared" si="0"/>
        <v>1001</v>
      </c>
      <c r="F16" s="9">
        <v>0.5</v>
      </c>
      <c r="G16" s="9" t="str">
        <f>IF(TableJumiaProducts[[#This Row],[Discount]]&lt;20%, "Low Discount", IF(TableJumiaProducts[[#This Row],[Discount]]&lt;=40%, "Medium Discount", "High Discount"))</f>
        <v>High Discount</v>
      </c>
      <c r="H16" s="7"/>
      <c r="I16" s="21"/>
      <c r="J16" s="7" t="str">
        <f>IF(TableJumiaProducts[[#This Row],[Rating]]="","Uknown", IF(TableJumiaProducts[[#This Row],[Rating]]&lt;3, "Poor", IF(TableJumiaProducts[[#This Row],[Rating]]&lt;4.5, "Average", "Excellent")))</f>
        <v>Uknown</v>
      </c>
      <c r="L16" s="16" t="s">
        <v>119</v>
      </c>
    </row>
    <row r="17" spans="1:15" ht="14.5" x14ac:dyDescent="0.35">
      <c r="A17" s="25" t="s">
        <v>83</v>
      </c>
      <c r="B17" s="7" t="s">
        <v>132</v>
      </c>
      <c r="C17" s="8">
        <v>850</v>
      </c>
      <c r="D17" s="8">
        <v>1700</v>
      </c>
      <c r="E17" s="20">
        <f t="shared" si="0"/>
        <v>850</v>
      </c>
      <c r="F17" s="9">
        <v>0.5</v>
      </c>
      <c r="G17" s="9" t="str">
        <f>IF(TableJumiaProducts[[#This Row],[Discount]]&lt;20%, "Low Discount", IF(TableJumiaProducts[[#This Row],[Discount]]&lt;=40%, "Medium Discount", "High Discount"))</f>
        <v>High Discount</v>
      </c>
      <c r="H17" s="7"/>
      <c r="I17" s="21"/>
      <c r="J17" s="7" t="str">
        <f>IF(TableJumiaProducts[[#This Row],[Rating]]="","Uknown", IF(TableJumiaProducts[[#This Row],[Rating]]&lt;3, "Poor", IF(TableJumiaProducts[[#This Row],[Rating]]&lt;4.5, "Average", "Excellent")))</f>
        <v>Uknown</v>
      </c>
      <c r="M17" s="16" t="s">
        <v>120</v>
      </c>
    </row>
    <row r="18" spans="1:15" ht="14.5" x14ac:dyDescent="0.35">
      <c r="A18" s="25" t="s">
        <v>103</v>
      </c>
      <c r="B18" s="7" t="s">
        <v>131</v>
      </c>
      <c r="C18" s="8">
        <v>450</v>
      </c>
      <c r="D18" s="8">
        <v>900</v>
      </c>
      <c r="E18" s="20">
        <f t="shared" si="0"/>
        <v>450</v>
      </c>
      <c r="F18" s="9">
        <v>0.5</v>
      </c>
      <c r="G18" s="9" t="str">
        <f>IF(TableJumiaProducts[[#This Row],[Discount]]&lt;20%, "Low Discount", IF(TableJumiaProducts[[#This Row],[Discount]]&lt;=40%, "Medium Discount", "High Discount"))</f>
        <v>High Discount</v>
      </c>
      <c r="H18" s="7">
        <v>1</v>
      </c>
      <c r="I18" s="21">
        <v>2</v>
      </c>
      <c r="J18" s="7" t="str">
        <f>IF(TableJumiaProducts[[#This Row],[Rating]]="","Uknown", IF(TableJumiaProducts[[#This Row],[Rating]]&lt;3, "Poor", IF(TableJumiaProducts[[#This Row],[Rating]]&lt;4.5, "Average", "Excellent")))</f>
        <v>Poor</v>
      </c>
    </row>
    <row r="19" spans="1:15" ht="14.5" x14ac:dyDescent="0.35">
      <c r="A19" s="25" t="s">
        <v>46</v>
      </c>
      <c r="B19" s="7" t="s">
        <v>131</v>
      </c>
      <c r="C19" s="8">
        <v>299</v>
      </c>
      <c r="D19" s="8">
        <v>600</v>
      </c>
      <c r="E19" s="20">
        <f t="shared" si="0"/>
        <v>301</v>
      </c>
      <c r="F19" s="9">
        <v>0.5</v>
      </c>
      <c r="G19" s="9" t="str">
        <f>IF(TableJumiaProducts[[#This Row],[Discount]]&lt;20%, "Low Discount", IF(TableJumiaProducts[[#This Row],[Discount]]&lt;=40%, "Medium Discount", "High Discount"))</f>
        <v>High Discount</v>
      </c>
      <c r="H19" s="7"/>
      <c r="I19" s="21"/>
      <c r="J19" s="7" t="str">
        <f>IF(TableJumiaProducts[[#This Row],[Rating]]="","Uknown", IF(TableJumiaProducts[[#This Row],[Rating]]&lt;3, "Poor", IF(TableJumiaProducts[[#This Row],[Rating]]&lt;4.5, "Average", "Excellent")))</f>
        <v>Uknown</v>
      </c>
      <c r="L19" s="15" t="s">
        <v>123</v>
      </c>
    </row>
    <row r="20" spans="1:15" ht="14.5" x14ac:dyDescent="0.35">
      <c r="A20" s="25" t="s">
        <v>38</v>
      </c>
      <c r="B20" s="7" t="s">
        <v>132</v>
      </c>
      <c r="C20" s="8">
        <v>238</v>
      </c>
      <c r="D20" s="8">
        <v>476</v>
      </c>
      <c r="E20" s="20">
        <f t="shared" si="0"/>
        <v>238</v>
      </c>
      <c r="F20" s="9">
        <v>0.5</v>
      </c>
      <c r="G20" s="9" t="str">
        <f>IF(TableJumiaProducts[[#This Row],[Discount]]&lt;20%, "Low Discount", IF(TableJumiaProducts[[#This Row],[Discount]]&lt;=40%, "Medium Discount", "High Discount"))</f>
        <v>High Discount</v>
      </c>
      <c r="H20" s="7"/>
      <c r="I20" s="21"/>
      <c r="J20" s="7" t="str">
        <f>IF(TableJumiaProducts[[#This Row],[Rating]]="","Uknown", IF(TableJumiaProducts[[#This Row],[Rating]]&lt;3, "Poor", IF(TableJumiaProducts[[#This Row],[Rating]]&lt;4.5, "Average", "Excellent")))</f>
        <v>Uknown</v>
      </c>
      <c r="L20" s="15" t="s">
        <v>1</v>
      </c>
      <c r="M20" s="14">
        <f>AVERAGE(C2:C113)</f>
        <v>1186.8928571428571</v>
      </c>
    </row>
    <row r="21" spans="1:15" ht="14.5" x14ac:dyDescent="0.35">
      <c r="A21" s="25" t="s">
        <v>16</v>
      </c>
      <c r="B21" s="7" t="s">
        <v>132</v>
      </c>
      <c r="C21" s="8">
        <v>2025</v>
      </c>
      <c r="D21" s="8">
        <v>3971</v>
      </c>
      <c r="E21" s="20">
        <f t="shared" si="0"/>
        <v>1946</v>
      </c>
      <c r="F21" s="9">
        <v>0.49</v>
      </c>
      <c r="G21" s="9" t="str">
        <f>IF(TableJumiaProducts[[#This Row],[Discount]]&lt;20%, "Low Discount", IF(TableJumiaProducts[[#This Row],[Discount]]&lt;=40%, "Medium Discount", "High Discount"))</f>
        <v>High Discount</v>
      </c>
      <c r="H21" s="7">
        <v>3</v>
      </c>
      <c r="I21" s="21">
        <v>5</v>
      </c>
      <c r="J21" s="7" t="str">
        <f>IF(TableJumiaProducts[[#This Row],[Rating]]="","Uknown", IF(TableJumiaProducts[[#This Row],[Rating]]&lt;3, "Poor", IF(TableJumiaProducts[[#This Row],[Rating]]&lt;4.5, "Average", "Excellent")))</f>
        <v>Excellent</v>
      </c>
      <c r="L21" s="15" t="s">
        <v>105</v>
      </c>
      <c r="M21" s="14">
        <f>AVERAGE(D2:D113)</f>
        <v>1811.1071428571429</v>
      </c>
    </row>
    <row r="22" spans="1:15" ht="14.5" x14ac:dyDescent="0.35">
      <c r="A22" s="25" t="s">
        <v>18</v>
      </c>
      <c r="B22" s="7" t="s">
        <v>138</v>
      </c>
      <c r="C22" s="8">
        <v>998</v>
      </c>
      <c r="D22" s="8">
        <v>1966</v>
      </c>
      <c r="E22" s="20">
        <f t="shared" si="0"/>
        <v>968</v>
      </c>
      <c r="F22" s="9">
        <v>0.49</v>
      </c>
      <c r="G22" s="9" t="str">
        <f>IF(TableJumiaProducts[[#This Row],[Discount]]&lt;20%, "Low Discount", IF(TableJumiaProducts[[#This Row],[Discount]]&lt;=40%, "Medium Discount", "High Discount"))</f>
        <v>High Discount</v>
      </c>
      <c r="H22" s="7">
        <v>44</v>
      </c>
      <c r="I22" s="21">
        <v>4.5999999999999996</v>
      </c>
      <c r="J22" s="7" t="str">
        <f>IF(TableJumiaProducts[[#This Row],[Rating]]="","Uknown", IF(TableJumiaProducts[[#This Row],[Rating]]&lt;3, "Poor", IF(TableJumiaProducts[[#This Row],[Rating]]&lt;4.5, "Average", "Excellent")))</f>
        <v>Excellent</v>
      </c>
      <c r="L22" s="15" t="s">
        <v>124</v>
      </c>
      <c r="M22" s="18">
        <f>AVERAGE(TableJumiaProducts[Discount])</f>
        <v>0.36776785714285737</v>
      </c>
      <c r="N22" s="17"/>
    </row>
    <row r="23" spans="1:15" ht="14.5" x14ac:dyDescent="0.35">
      <c r="A23" s="26" t="s">
        <v>74</v>
      </c>
      <c r="B23" s="10" t="s">
        <v>132</v>
      </c>
      <c r="C23" s="11">
        <v>979</v>
      </c>
      <c r="D23" s="11">
        <v>1920</v>
      </c>
      <c r="E23" s="20">
        <f t="shared" si="0"/>
        <v>941</v>
      </c>
      <c r="F23" s="12">
        <v>0.49</v>
      </c>
      <c r="G23" s="12" t="str">
        <f>IF(TableJumiaProducts[[#This Row],[Discount]]&lt;20%, "Low Discount", IF(TableJumiaProducts[[#This Row],[Discount]]&lt;=40%, "Medium Discount", "High Discount"))</f>
        <v>High Discount</v>
      </c>
      <c r="H23" s="10">
        <v>1</v>
      </c>
      <c r="I23" s="22">
        <v>5</v>
      </c>
      <c r="J23" s="10" t="str">
        <f>IF(TableJumiaProducts[[#This Row],[Rating]]="","Uknown", IF(TableJumiaProducts[[#This Row],[Rating]]&lt;3, "Poor", IF(TableJumiaProducts[[#This Row],[Rating]]&lt;4.5, "Average", "Excellent")))</f>
        <v>Excellent</v>
      </c>
      <c r="L23" s="15" t="s">
        <v>106</v>
      </c>
      <c r="M23" s="19">
        <f>AVERAGE(TableJumiaProducts[Rating])</f>
        <v>3.8894736842105253</v>
      </c>
    </row>
    <row r="24" spans="1:15" ht="14.5" x14ac:dyDescent="0.35">
      <c r="A24" s="25" t="s">
        <v>53</v>
      </c>
      <c r="B24" s="7" t="s">
        <v>131</v>
      </c>
      <c r="C24" s="8">
        <v>799</v>
      </c>
      <c r="D24" s="8">
        <v>1567</v>
      </c>
      <c r="E24" s="20">
        <f t="shared" si="0"/>
        <v>768</v>
      </c>
      <c r="F24" s="9">
        <v>0.49</v>
      </c>
      <c r="G24" s="9" t="str">
        <f>IF(TableJumiaProducts[[#This Row],[Discount]]&lt;20%, "Low Discount", IF(TableJumiaProducts[[#This Row],[Discount]]&lt;=40%, "Medium Discount", "High Discount"))</f>
        <v>High Discount</v>
      </c>
      <c r="H24" s="7"/>
      <c r="I24" s="21"/>
      <c r="J24" s="7" t="str">
        <f>IF(TableJumiaProducts[[#This Row],[Rating]]="","Uknown", IF(TableJumiaProducts[[#This Row],[Rating]]&lt;3, "Poor", IF(TableJumiaProducts[[#This Row],[Rating]]&lt;4.5, "Average", "Excellent")))</f>
        <v>Uknown</v>
      </c>
    </row>
    <row r="25" spans="1:15" ht="14.5" x14ac:dyDescent="0.35">
      <c r="A25" s="25" t="s">
        <v>43</v>
      </c>
      <c r="B25" s="7" t="s">
        <v>131</v>
      </c>
      <c r="C25" s="8">
        <v>671</v>
      </c>
      <c r="D25" s="8">
        <v>1316</v>
      </c>
      <c r="E25" s="20">
        <f t="shared" si="0"/>
        <v>645</v>
      </c>
      <c r="F25" s="9">
        <v>0.49</v>
      </c>
      <c r="G25" s="9" t="str">
        <f>IF(TableJumiaProducts[[#This Row],[Discount]]&lt;20%, "Low Discount", IF(TableJumiaProducts[[#This Row],[Discount]]&lt;=40%, "Medium Discount", "High Discount"))</f>
        <v>High Discount</v>
      </c>
      <c r="H25" s="7"/>
      <c r="I25" s="21"/>
      <c r="J25" s="7" t="str">
        <f>IF(TableJumiaProducts[[#This Row],[Rating]]="","Uknown", IF(TableJumiaProducts[[#This Row],[Rating]]&lt;3, "Poor", IF(TableJumiaProducts[[#This Row],[Rating]]&lt;4.5, "Average", "Excellent")))</f>
        <v>Uknown</v>
      </c>
    </row>
    <row r="26" spans="1:15" ht="14.5" x14ac:dyDescent="0.35">
      <c r="A26" s="25" t="s">
        <v>53</v>
      </c>
      <c r="B26" s="7" t="s">
        <v>131</v>
      </c>
      <c r="C26" s="8">
        <v>657</v>
      </c>
      <c r="D26" s="8">
        <v>1288</v>
      </c>
      <c r="E26" s="20">
        <f t="shared" si="0"/>
        <v>631</v>
      </c>
      <c r="F26" s="9">
        <v>0.49</v>
      </c>
      <c r="G26" s="9" t="str">
        <f>IF(TableJumiaProducts[[#This Row],[Discount]]&lt;20%, "Low Discount", IF(TableJumiaProducts[[#This Row],[Discount]]&lt;=40%, "Medium Discount", "High Discount"))</f>
        <v>High Discount</v>
      </c>
      <c r="H26" s="7"/>
      <c r="I26" s="21"/>
      <c r="J26" s="7" t="str">
        <f>IF(TableJumiaProducts[[#This Row],[Rating]]="","Uknown", IF(TableJumiaProducts[[#This Row],[Rating]]&lt;3, "Poor", IF(TableJumiaProducts[[#This Row],[Rating]]&lt;4.5, "Average", "Excellent")))</f>
        <v>Uknown</v>
      </c>
      <c r="L26" s="15" t="s">
        <v>125</v>
      </c>
    </row>
    <row r="27" spans="1:15" ht="14.5" x14ac:dyDescent="0.35">
      <c r="A27" s="25" t="s">
        <v>92</v>
      </c>
      <c r="B27" s="7" t="s">
        <v>135</v>
      </c>
      <c r="C27" s="8">
        <v>525</v>
      </c>
      <c r="D27" s="8">
        <v>1029</v>
      </c>
      <c r="E27" s="20">
        <f t="shared" si="0"/>
        <v>504</v>
      </c>
      <c r="F27" s="9">
        <v>0.49</v>
      </c>
      <c r="G27" s="9" t="str">
        <f>IF(TableJumiaProducts[[#This Row],[Discount]]&lt;20%, "Low Discount", IF(TableJumiaProducts[[#This Row],[Discount]]&lt;=40%, "Medium Discount", "High Discount"))</f>
        <v>High Discount</v>
      </c>
      <c r="H27" s="7"/>
      <c r="I27" s="21"/>
      <c r="J27" s="7" t="str">
        <f>IF(TableJumiaProducts[[#This Row],[Rating]]="","Uknown", IF(TableJumiaProducts[[#This Row],[Rating]]&lt;3, "Poor", IF(TableJumiaProducts[[#This Row],[Rating]]&lt;4.5, "Average", "Excellent")))</f>
        <v>Uknown</v>
      </c>
      <c r="L27" s="15" t="s">
        <v>126</v>
      </c>
      <c r="N27" s="15">
        <f>MAX(TableJumiaProducts[Current Price])</f>
        <v>3750</v>
      </c>
      <c r="O27" s="13" t="s">
        <v>62</v>
      </c>
    </row>
    <row r="28" spans="1:15" ht="14.5" x14ac:dyDescent="0.35">
      <c r="A28" s="25" t="s">
        <v>37</v>
      </c>
      <c r="B28" s="7" t="s">
        <v>131</v>
      </c>
      <c r="C28" s="8">
        <v>475</v>
      </c>
      <c r="D28" s="8">
        <v>931</v>
      </c>
      <c r="E28" s="20">
        <f t="shared" si="0"/>
        <v>456</v>
      </c>
      <c r="F28" s="9">
        <v>0.49</v>
      </c>
      <c r="G28" s="9" t="str">
        <f>IF(TableJumiaProducts[[#This Row],[Discount]]&lt;20%, "Low Discount", IF(TableJumiaProducts[[#This Row],[Discount]]&lt;=40%, "Medium Discount", "High Discount"))</f>
        <v>High Discount</v>
      </c>
      <c r="H28" s="7"/>
      <c r="I28" s="21"/>
      <c r="J28" s="7" t="str">
        <f>IF(TableJumiaProducts[[#This Row],[Rating]]="","Uknown", IF(TableJumiaProducts[[#This Row],[Rating]]&lt;3, "Poor", IF(TableJumiaProducts[[#This Row],[Rating]]&lt;4.5, "Average", "Excellent")))</f>
        <v>Uknown</v>
      </c>
      <c r="L28" s="15" t="s">
        <v>127</v>
      </c>
      <c r="N28" s="15">
        <f>MIN(TableJumiaProducts[Current Price])</f>
        <v>38</v>
      </c>
      <c r="O28" s="15" t="s">
        <v>19</v>
      </c>
    </row>
    <row r="29" spans="1:15" ht="14.5" x14ac:dyDescent="0.35">
      <c r="A29" s="26" t="s">
        <v>58</v>
      </c>
      <c r="B29" s="10" t="s">
        <v>131</v>
      </c>
      <c r="C29" s="11">
        <v>445</v>
      </c>
      <c r="D29" s="11">
        <v>873</v>
      </c>
      <c r="E29" s="20">
        <f t="shared" si="0"/>
        <v>428</v>
      </c>
      <c r="F29" s="12">
        <v>0.49</v>
      </c>
      <c r="G29" s="12" t="str">
        <f>IF(TableJumiaProducts[[#This Row],[Discount]]&lt;20%, "Low Discount", IF(TableJumiaProducts[[#This Row],[Discount]]&lt;=40%, "Medium Discount", "High Discount"))</f>
        <v>High Discount</v>
      </c>
      <c r="H29" s="10">
        <v>69</v>
      </c>
      <c r="I29" s="22">
        <v>2.8</v>
      </c>
      <c r="J29" s="7" t="str">
        <f>IF(TableJumiaProducts[[#This Row],[Rating]]="","Uknown", IF(TableJumiaProducts[[#This Row],[Rating]]&lt;3, "Poor", IF(TableJumiaProducts[[#This Row],[Rating]]&lt;4.5, "Average", "Excellent")))</f>
        <v>Poor</v>
      </c>
    </row>
    <row r="30" spans="1:15" ht="14.5" x14ac:dyDescent="0.35">
      <c r="A30" s="25" t="s">
        <v>77</v>
      </c>
      <c r="B30" s="7" t="s">
        <v>133</v>
      </c>
      <c r="C30" s="8">
        <v>330</v>
      </c>
      <c r="D30" s="8">
        <v>647</v>
      </c>
      <c r="E30" s="20">
        <f t="shared" si="0"/>
        <v>317</v>
      </c>
      <c r="F30" s="9">
        <v>0.49</v>
      </c>
      <c r="G30" s="9" t="str">
        <f>IF(TableJumiaProducts[[#This Row],[Discount]]&lt;20%, "Low Discount", IF(TableJumiaProducts[[#This Row],[Discount]]&lt;=40%, "Medium Discount", "High Discount"))</f>
        <v>High Discount</v>
      </c>
      <c r="H30" s="7">
        <v>1</v>
      </c>
      <c r="I30" s="21">
        <v>4</v>
      </c>
      <c r="J30" s="7" t="str">
        <f>IF(TableJumiaProducts[[#This Row],[Rating]]="","Uknown", IF(TableJumiaProducts[[#This Row],[Rating]]&lt;3, "Poor", IF(TableJumiaProducts[[#This Row],[Rating]]&lt;4.5, "Average", "Excellent")))</f>
        <v>Average</v>
      </c>
      <c r="L30" s="15" t="s">
        <v>145</v>
      </c>
      <c r="N30" s="15">
        <f>CORREL(TableJumiaProducts[Discount], TableJumiaProducts[Reviews])</f>
        <v>-0.13682272428088291</v>
      </c>
    </row>
    <row r="31" spans="1:15" ht="14.5" x14ac:dyDescent="0.35">
      <c r="A31" s="25" t="s">
        <v>79</v>
      </c>
      <c r="B31" s="7" t="s">
        <v>132</v>
      </c>
      <c r="C31" s="8">
        <v>274</v>
      </c>
      <c r="D31" s="8">
        <v>537</v>
      </c>
      <c r="E31" s="20">
        <f t="shared" si="0"/>
        <v>263</v>
      </c>
      <c r="F31" s="9">
        <v>0.49</v>
      </c>
      <c r="G31" s="9" t="str">
        <f>IF(TableJumiaProducts[[#This Row],[Discount]]&lt;20%, "Low Discount", IF(TableJumiaProducts[[#This Row],[Discount]]&lt;=40%, "Medium Discount", "High Discount"))</f>
        <v>High Discount</v>
      </c>
      <c r="H31" s="7"/>
      <c r="I31" s="21"/>
      <c r="J31" s="7" t="str">
        <f>IF(TableJumiaProducts[[#This Row],[Rating]]="","Uknown", IF(TableJumiaProducts[[#This Row],[Rating]]&lt;3, "Poor", IF(TableJumiaProducts[[#This Row],[Rating]]&lt;4.5, "Average", "Excellent")))</f>
        <v>Uknown</v>
      </c>
    </row>
    <row r="32" spans="1:15" ht="14.5" x14ac:dyDescent="0.35">
      <c r="A32" s="25" t="s">
        <v>90</v>
      </c>
      <c r="B32" s="7" t="s">
        <v>133</v>
      </c>
      <c r="C32" s="8">
        <v>248</v>
      </c>
      <c r="D32" s="8">
        <v>486</v>
      </c>
      <c r="E32" s="20">
        <f t="shared" si="0"/>
        <v>238</v>
      </c>
      <c r="F32" s="9">
        <v>0.49</v>
      </c>
      <c r="G32" s="9" t="str">
        <f>IF(TableJumiaProducts[[#This Row],[Discount]]&lt;20%, "Low Discount", IF(TableJumiaProducts[[#This Row],[Discount]]&lt;=40%, "Medium Discount", "High Discount"))</f>
        <v>High Discount</v>
      </c>
      <c r="H32" s="7"/>
      <c r="I32" s="21"/>
      <c r="J32" s="7" t="str">
        <f>IF(TableJumiaProducts[[#This Row],[Rating]]="","Uknown", IF(TableJumiaProducts[[#This Row],[Rating]]&lt;3, "Poor", IF(TableJumiaProducts[[#This Row],[Rating]]&lt;4.5, "Average", "Excellent")))</f>
        <v>Uknown</v>
      </c>
    </row>
    <row r="33" spans="1:10" ht="14.5" x14ac:dyDescent="0.35">
      <c r="A33" s="26" t="s">
        <v>72</v>
      </c>
      <c r="B33" s="10" t="s">
        <v>133</v>
      </c>
      <c r="C33" s="11">
        <v>230</v>
      </c>
      <c r="D33" s="11">
        <v>450</v>
      </c>
      <c r="E33" s="20">
        <f t="shared" si="0"/>
        <v>220</v>
      </c>
      <c r="F33" s="12">
        <v>0.49</v>
      </c>
      <c r="G33" s="12" t="str">
        <f>IF(TableJumiaProducts[[#This Row],[Discount]]&lt;20%, "Low Discount", IF(TableJumiaProducts[[#This Row],[Discount]]&lt;=40%, "Medium Discount", "High Discount"))</f>
        <v>High Discount</v>
      </c>
      <c r="H33" s="10"/>
      <c r="I33" s="22"/>
      <c r="J33" s="7" t="str">
        <f>IF(TableJumiaProducts[[#This Row],[Rating]]="","Uknown", IF(TableJumiaProducts[[#This Row],[Rating]]&lt;3, "Poor", IF(TableJumiaProducts[[#This Row],[Rating]]&lt;4.5, "Average", "Excellent")))</f>
        <v>Uknown</v>
      </c>
    </row>
    <row r="34" spans="1:10" ht="14.5" x14ac:dyDescent="0.35">
      <c r="A34" s="25" t="s">
        <v>45</v>
      </c>
      <c r="B34" s="7" t="s">
        <v>132</v>
      </c>
      <c r="C34" s="8">
        <v>176</v>
      </c>
      <c r="D34" s="8">
        <v>345</v>
      </c>
      <c r="E34" s="20">
        <f t="shared" si="0"/>
        <v>169</v>
      </c>
      <c r="F34" s="9">
        <v>0.49</v>
      </c>
      <c r="G34" s="9" t="str">
        <f>IF(TableJumiaProducts[[#This Row],[Discount]]&lt;20%, "Low Discount", IF(TableJumiaProducts[[#This Row],[Discount]]&lt;=40%, "Medium Discount", "High Discount"))</f>
        <v>High Discount</v>
      </c>
      <c r="H34" s="7"/>
      <c r="I34" s="21"/>
      <c r="J34" s="7" t="str">
        <f>IF(TableJumiaProducts[[#This Row],[Rating]]="","Uknown", IF(TableJumiaProducts[[#This Row],[Rating]]&lt;3, "Poor", IF(TableJumiaProducts[[#This Row],[Rating]]&lt;4.5, "Average", "Excellent")))</f>
        <v>Uknown</v>
      </c>
    </row>
    <row r="35" spans="1:10" ht="14.5" x14ac:dyDescent="0.35">
      <c r="A35" s="26" t="s">
        <v>154</v>
      </c>
      <c r="B35" s="10" t="s">
        <v>132</v>
      </c>
      <c r="C35" s="11">
        <v>1820</v>
      </c>
      <c r="D35" s="11">
        <v>3490</v>
      </c>
      <c r="E35" s="20">
        <f t="shared" si="0"/>
        <v>1670</v>
      </c>
      <c r="F35" s="12">
        <v>0.48</v>
      </c>
      <c r="G35" s="12" t="str">
        <f>IF(TableJumiaProducts[[#This Row],[Discount]]&lt;20%, "Low Discount", IF(TableJumiaProducts[[#This Row],[Discount]]&lt;=40%, "Medium Discount", "High Discount"))</f>
        <v>High Discount</v>
      </c>
      <c r="H35" s="10">
        <v>9</v>
      </c>
      <c r="I35" s="22">
        <v>4.3</v>
      </c>
      <c r="J35" s="7" t="str">
        <f>IF(TableJumiaProducts[[#This Row],[Rating]]="","Uknown", IF(TableJumiaProducts[[#This Row],[Rating]]&lt;3, "Poor", IF(TableJumiaProducts[[#This Row],[Rating]]&lt;4.5, "Average", "Excellent")))</f>
        <v>Average</v>
      </c>
    </row>
    <row r="36" spans="1:10" ht="14.5" x14ac:dyDescent="0.35">
      <c r="A36" s="25" t="s">
        <v>84</v>
      </c>
      <c r="B36" s="7" t="s">
        <v>132</v>
      </c>
      <c r="C36" s="8">
        <v>1300</v>
      </c>
      <c r="D36" s="8">
        <v>2500</v>
      </c>
      <c r="E36" s="20">
        <f t="shared" si="0"/>
        <v>1200</v>
      </c>
      <c r="F36" s="9">
        <v>0.48</v>
      </c>
      <c r="G36" s="9" t="str">
        <f>IF(TableJumiaProducts[[#This Row],[Discount]]&lt;20%, "Low Discount", IF(TableJumiaProducts[[#This Row],[Discount]]&lt;=40%, "Medium Discount", "High Discount"))</f>
        <v>High Discount</v>
      </c>
      <c r="H36" s="7"/>
      <c r="I36" s="21"/>
      <c r="J36" s="7" t="str">
        <f>IF(TableJumiaProducts[[#This Row],[Rating]]="","Uknown", IF(TableJumiaProducts[[#This Row],[Rating]]&lt;3, "Poor", IF(TableJumiaProducts[[#This Row],[Rating]]&lt;4.5, "Average", "Excellent")))</f>
        <v>Uknown</v>
      </c>
    </row>
    <row r="37" spans="1:10" ht="14.5" x14ac:dyDescent="0.35">
      <c r="A37" s="25" t="s">
        <v>52</v>
      </c>
      <c r="B37" s="7" t="s">
        <v>136</v>
      </c>
      <c r="C37" s="8">
        <v>699</v>
      </c>
      <c r="D37" s="8">
        <v>1343</v>
      </c>
      <c r="E37" s="20">
        <f t="shared" si="0"/>
        <v>644</v>
      </c>
      <c r="F37" s="9">
        <v>0.48</v>
      </c>
      <c r="G37" s="9" t="str">
        <f>IF(TableJumiaProducts[[#This Row],[Discount]]&lt;20%, "Low Discount", IF(TableJumiaProducts[[#This Row],[Discount]]&lt;=40%, "Medium Discount", "High Discount"))</f>
        <v>High Discount</v>
      </c>
      <c r="H37" s="7"/>
      <c r="I37" s="21"/>
      <c r="J37" s="7" t="str">
        <f>IF(TableJumiaProducts[[#This Row],[Rating]]="","Uknown", IF(TableJumiaProducts[[#This Row],[Rating]]&lt;3, "Poor", IF(TableJumiaProducts[[#This Row],[Rating]]&lt;4.5, "Average", "Excellent")))</f>
        <v>Uknown</v>
      </c>
    </row>
    <row r="38" spans="1:10" ht="14.5" x14ac:dyDescent="0.35">
      <c r="A38" s="25" t="s">
        <v>85</v>
      </c>
      <c r="B38" s="7" t="s">
        <v>131</v>
      </c>
      <c r="C38" s="8">
        <v>105</v>
      </c>
      <c r="D38" s="8">
        <v>200</v>
      </c>
      <c r="E38" s="20">
        <f t="shared" si="0"/>
        <v>95</v>
      </c>
      <c r="F38" s="9">
        <v>0.48</v>
      </c>
      <c r="G38" s="9" t="str">
        <f>IF(TableJumiaProducts[[#This Row],[Discount]]&lt;20%, "Low Discount", IF(TableJumiaProducts[[#This Row],[Discount]]&lt;=40%, "Medium Discount", "High Discount"))</f>
        <v>High Discount</v>
      </c>
      <c r="H38" s="7"/>
      <c r="I38" s="21"/>
      <c r="J38" s="7" t="str">
        <f>IF(TableJumiaProducts[[#This Row],[Rating]]="","Uknown", IF(TableJumiaProducts[[#This Row],[Rating]]&lt;3, "Poor", IF(TableJumiaProducts[[#This Row],[Rating]]&lt;4.5, "Average", "Excellent")))</f>
        <v>Uknown</v>
      </c>
    </row>
    <row r="39" spans="1:10" ht="14.5" x14ac:dyDescent="0.35">
      <c r="A39" s="26" t="s">
        <v>68</v>
      </c>
      <c r="B39" s="10" t="s">
        <v>131</v>
      </c>
      <c r="C39" s="11">
        <v>1570</v>
      </c>
      <c r="D39" s="11">
        <v>2988</v>
      </c>
      <c r="E39" s="20">
        <f t="shared" si="0"/>
        <v>1418</v>
      </c>
      <c r="F39" s="12">
        <v>0.47</v>
      </c>
      <c r="G39" s="12" t="str">
        <f>IF(TableJumiaProducts[[#This Row],[Discount]]&lt;20%, "Low Discount", IF(TableJumiaProducts[[#This Row],[Discount]]&lt;=40%, "Medium Discount", "High Discount"))</f>
        <v>High Discount</v>
      </c>
      <c r="H39" s="10">
        <v>7</v>
      </c>
      <c r="I39" s="22">
        <v>2.1</v>
      </c>
      <c r="J39" s="7" t="str">
        <f>IF(TableJumiaProducts[[#This Row],[Rating]]="","Uknown", IF(TableJumiaProducts[[#This Row],[Rating]]&lt;3, "Poor", IF(TableJumiaProducts[[#This Row],[Rating]]&lt;4.5, "Average", "Excellent")))</f>
        <v>Poor</v>
      </c>
    </row>
    <row r="40" spans="1:10" ht="14.5" x14ac:dyDescent="0.35">
      <c r="A40" s="25" t="s">
        <v>67</v>
      </c>
      <c r="B40" s="7" t="s">
        <v>134</v>
      </c>
      <c r="C40" s="8">
        <v>968</v>
      </c>
      <c r="D40" s="8">
        <v>1814</v>
      </c>
      <c r="E40" s="20">
        <f t="shared" si="0"/>
        <v>846</v>
      </c>
      <c r="F40" s="9">
        <v>0.47</v>
      </c>
      <c r="G40" s="9" t="str">
        <f>IF(TableJumiaProducts[[#This Row],[Discount]]&lt;20%, "Low Discount", IF(TableJumiaProducts[[#This Row],[Discount]]&lt;=40%, "Medium Discount", "High Discount"))</f>
        <v>High Discount</v>
      </c>
      <c r="H40" s="7">
        <v>6</v>
      </c>
      <c r="I40" s="21">
        <v>2.2000000000000002</v>
      </c>
      <c r="J40" s="7" t="str">
        <f>IF(TableJumiaProducts[[#This Row],[Rating]]="","Uknown", IF(TableJumiaProducts[[#This Row],[Rating]]&lt;3, "Poor", IF(TableJumiaProducts[[#This Row],[Rating]]&lt;4.5, "Average", "Excellent")))</f>
        <v>Poor</v>
      </c>
    </row>
    <row r="41" spans="1:10" ht="14.5" x14ac:dyDescent="0.35">
      <c r="A41" s="25" t="s">
        <v>86</v>
      </c>
      <c r="B41" s="7" t="s">
        <v>132</v>
      </c>
      <c r="C41" s="8">
        <v>899</v>
      </c>
      <c r="D41" s="8">
        <v>1699</v>
      </c>
      <c r="E41" s="20">
        <f t="shared" si="0"/>
        <v>800</v>
      </c>
      <c r="F41" s="9">
        <v>0.47</v>
      </c>
      <c r="G41" s="9" t="str">
        <f>IF(TableJumiaProducts[[#This Row],[Discount]]&lt;20%, "Low Discount", IF(TableJumiaProducts[[#This Row],[Discount]]&lt;=40%, "Medium Discount", "High Discount"))</f>
        <v>High Discount</v>
      </c>
      <c r="H41" s="7"/>
      <c r="I41" s="21"/>
      <c r="J41" s="7" t="str">
        <f>IF(TableJumiaProducts[[#This Row],[Rating]]="","Uknown", IF(TableJumiaProducts[[#This Row],[Rating]]&lt;3, "Poor", IF(TableJumiaProducts[[#This Row],[Rating]]&lt;4.5, "Average", "Excellent")))</f>
        <v>Uknown</v>
      </c>
    </row>
    <row r="42" spans="1:10" ht="14.5" x14ac:dyDescent="0.35">
      <c r="A42" s="25" t="s">
        <v>69</v>
      </c>
      <c r="B42" s="7" t="s">
        <v>136</v>
      </c>
      <c r="C42" s="8">
        <v>790</v>
      </c>
      <c r="D42" s="8">
        <v>1485</v>
      </c>
      <c r="E42" s="20">
        <f t="shared" si="0"/>
        <v>695</v>
      </c>
      <c r="F42" s="9">
        <v>0.47</v>
      </c>
      <c r="G42" s="9" t="str">
        <f>IF(TableJumiaProducts[[#This Row],[Discount]]&lt;20%, "Low Discount", IF(TableJumiaProducts[[#This Row],[Discount]]&lt;=40%, "Medium Discount", "High Discount"))</f>
        <v>High Discount</v>
      </c>
      <c r="H42" s="7"/>
      <c r="I42" s="21"/>
      <c r="J42" s="7" t="str">
        <f>IF(TableJumiaProducts[[#This Row],[Rating]]="","Uknown", IF(TableJumiaProducts[[#This Row],[Rating]]&lt;3, "Poor", IF(TableJumiaProducts[[#This Row],[Rating]]&lt;4.5, "Average", "Excellent")))</f>
        <v>Uknown</v>
      </c>
    </row>
    <row r="43" spans="1:10" ht="14.5" x14ac:dyDescent="0.35">
      <c r="A43" s="25" t="s">
        <v>13</v>
      </c>
      <c r="B43" s="7" t="s">
        <v>132</v>
      </c>
      <c r="C43" s="8">
        <v>552</v>
      </c>
      <c r="D43" s="8">
        <v>1035</v>
      </c>
      <c r="E43" s="20">
        <f t="shared" si="0"/>
        <v>483</v>
      </c>
      <c r="F43" s="9">
        <v>0.47</v>
      </c>
      <c r="G43" s="9" t="str">
        <f>IF(TableJumiaProducts[[#This Row],[Discount]]&lt;20%, "Low Discount", IF(TableJumiaProducts[[#This Row],[Discount]]&lt;=40%, "Medium Discount", "High Discount"))</f>
        <v>High Discount</v>
      </c>
      <c r="H43" s="7">
        <v>12</v>
      </c>
      <c r="I43" s="21">
        <v>4.8</v>
      </c>
      <c r="J43" s="7" t="str">
        <f>IF(TableJumiaProducts[[#This Row],[Rating]]="","Uknown", IF(TableJumiaProducts[[#This Row],[Rating]]&lt;3, "Poor", IF(TableJumiaProducts[[#This Row],[Rating]]&lt;4.5, "Average", "Excellent")))</f>
        <v>Excellent</v>
      </c>
    </row>
    <row r="44" spans="1:10" ht="14.5" x14ac:dyDescent="0.35">
      <c r="A44" s="25" t="s">
        <v>3</v>
      </c>
      <c r="B44" s="7" t="s">
        <v>132</v>
      </c>
      <c r="C44" s="8">
        <v>527</v>
      </c>
      <c r="D44" s="8">
        <v>999</v>
      </c>
      <c r="E44" s="20">
        <f t="shared" si="0"/>
        <v>472</v>
      </c>
      <c r="F44" s="9">
        <v>0.47</v>
      </c>
      <c r="G44" s="9" t="str">
        <f>IF(TableJumiaProducts[[#This Row],[Discount]]&lt;20%, "Low Discount", IF(TableJumiaProducts[[#This Row],[Discount]]&lt;=40%, "Medium Discount", "High Discount"))</f>
        <v>High Discount</v>
      </c>
      <c r="H44" s="7">
        <v>14</v>
      </c>
      <c r="I44" s="21">
        <v>4.0999999999999996</v>
      </c>
      <c r="J44" s="7" t="str">
        <f>IF(TableJumiaProducts[[#This Row],[Rating]]="","Uknown", IF(TableJumiaProducts[[#This Row],[Rating]]&lt;3, "Poor", IF(TableJumiaProducts[[#This Row],[Rating]]&lt;4.5, "Average", "Excellent")))</f>
        <v>Average</v>
      </c>
    </row>
    <row r="45" spans="1:10" ht="14.5" x14ac:dyDescent="0.35">
      <c r="A45" s="26" t="s">
        <v>104</v>
      </c>
      <c r="B45" s="10" t="s">
        <v>133</v>
      </c>
      <c r="C45" s="11">
        <v>169</v>
      </c>
      <c r="D45" s="11">
        <v>320</v>
      </c>
      <c r="E45" s="20">
        <f t="shared" si="0"/>
        <v>151</v>
      </c>
      <c r="F45" s="12">
        <v>0.47</v>
      </c>
      <c r="G45" s="12" t="str">
        <f>IF(TableJumiaProducts[[#This Row],[Discount]]&lt;20%, "Low Discount", IF(TableJumiaProducts[[#This Row],[Discount]]&lt;=40%, "Medium Discount", "High Discount"))</f>
        <v>High Discount</v>
      </c>
      <c r="H45" s="10"/>
      <c r="I45" s="22"/>
      <c r="J45" s="10" t="str">
        <f>IF(TableJumiaProducts[[#This Row],[Rating]]="","Uknown", IF(TableJumiaProducts[[#This Row],[Rating]]&lt;3, "Poor", IF(TableJumiaProducts[[#This Row],[Rating]]&lt;4.5, "Average", "Excellent")))</f>
        <v>Uknown</v>
      </c>
    </row>
    <row r="46" spans="1:10" ht="14.5" x14ac:dyDescent="0.35">
      <c r="A46" s="25" t="s">
        <v>114</v>
      </c>
      <c r="B46" s="7" t="s">
        <v>132</v>
      </c>
      <c r="C46" s="8">
        <v>2200</v>
      </c>
      <c r="D46" s="8">
        <v>4080</v>
      </c>
      <c r="E46" s="20">
        <f t="shared" si="0"/>
        <v>1880</v>
      </c>
      <c r="F46" s="9">
        <v>0.46</v>
      </c>
      <c r="G46" s="9" t="str">
        <f>IF(TableJumiaProducts[[#This Row],[Discount]]&lt;20%, "Low Discount", IF(TableJumiaProducts[[#This Row],[Discount]]&lt;=40%, "Medium Discount", "High Discount"))</f>
        <v>High Discount</v>
      </c>
      <c r="H46" s="7"/>
      <c r="I46" s="21"/>
      <c r="J46" s="7" t="str">
        <f>IF(TableJumiaProducts[[#This Row],[Rating]]="","Uknown", IF(TableJumiaProducts[[#This Row],[Rating]]&lt;3, "Poor", IF(TableJumiaProducts[[#This Row],[Rating]]&lt;4.5, "Average", "Excellent")))</f>
        <v>Uknown</v>
      </c>
    </row>
    <row r="47" spans="1:10" ht="14.5" x14ac:dyDescent="0.35">
      <c r="A47" s="26" t="s">
        <v>73</v>
      </c>
      <c r="B47" s="10" t="s">
        <v>138</v>
      </c>
      <c r="C47" s="11">
        <v>1189</v>
      </c>
      <c r="D47" s="11">
        <v>2199</v>
      </c>
      <c r="E47" s="20">
        <f t="shared" si="0"/>
        <v>1010</v>
      </c>
      <c r="F47" s="12">
        <v>0.46</v>
      </c>
      <c r="G47" s="12" t="str">
        <f>IF(TableJumiaProducts[[#This Row],[Discount]]&lt;20%, "Low Discount", IF(TableJumiaProducts[[#This Row],[Discount]]&lt;=40%, "Medium Discount", "High Discount"))</f>
        <v>High Discount</v>
      </c>
      <c r="H47" s="10">
        <v>1</v>
      </c>
      <c r="I47" s="22">
        <v>3</v>
      </c>
      <c r="J47" s="10" t="str">
        <f>IF(TableJumiaProducts[[#This Row],[Rating]]="","Uknown", IF(TableJumiaProducts[[#This Row],[Rating]]&lt;3, "Poor", IF(TableJumiaProducts[[#This Row],[Rating]]&lt;4.5, "Average", "Excellent")))</f>
        <v>Average</v>
      </c>
    </row>
    <row r="48" spans="1:10" ht="14.5" x14ac:dyDescent="0.35">
      <c r="A48" s="25" t="s">
        <v>155</v>
      </c>
      <c r="B48" s="7" t="s">
        <v>132</v>
      </c>
      <c r="C48" s="8">
        <v>195</v>
      </c>
      <c r="D48" s="8">
        <v>360</v>
      </c>
      <c r="E48" s="20">
        <f t="shared" si="0"/>
        <v>165</v>
      </c>
      <c r="F48" s="9">
        <v>0.46</v>
      </c>
      <c r="G48" s="9" t="str">
        <f>IF(TableJumiaProducts[[#This Row],[Discount]]&lt;20%, "Low Discount", IF(TableJumiaProducts[[#This Row],[Discount]]&lt;=40%, "Medium Discount", "High Discount"))</f>
        <v>High Discount</v>
      </c>
      <c r="H48" s="7">
        <v>2</v>
      </c>
      <c r="I48" s="21">
        <v>5</v>
      </c>
      <c r="J48" s="7" t="str">
        <f>IF(TableJumiaProducts[[#This Row],[Rating]]="","Uknown", IF(TableJumiaProducts[[#This Row],[Rating]]&lt;3, "Poor", IF(TableJumiaProducts[[#This Row],[Rating]]&lt;4.5, "Average", "Excellent")))</f>
        <v>Excellent</v>
      </c>
    </row>
    <row r="49" spans="1:10" ht="14.5" x14ac:dyDescent="0.35">
      <c r="A49" s="26" t="s">
        <v>10</v>
      </c>
      <c r="B49" s="10" t="s">
        <v>131</v>
      </c>
      <c r="C49" s="11">
        <v>1600</v>
      </c>
      <c r="D49" s="11">
        <v>2929</v>
      </c>
      <c r="E49" s="20">
        <f t="shared" si="0"/>
        <v>1329</v>
      </c>
      <c r="F49" s="12">
        <v>0.45</v>
      </c>
      <c r="G49" s="12" t="str">
        <f>IF(TableJumiaProducts[[#This Row],[Discount]]&lt;20%, "Low Discount", IF(TableJumiaProducts[[#This Row],[Discount]]&lt;=40%, "Medium Discount", "High Discount"))</f>
        <v>High Discount</v>
      </c>
      <c r="H49" s="10">
        <v>5</v>
      </c>
      <c r="I49" s="22">
        <v>3.8</v>
      </c>
      <c r="J49" s="10" t="str">
        <f>IF(TableJumiaProducts[[#This Row],[Rating]]="","Uknown", IF(TableJumiaProducts[[#This Row],[Rating]]&lt;3, "Poor", IF(TableJumiaProducts[[#This Row],[Rating]]&lt;4.5, "Average", "Excellent")))</f>
        <v>Average</v>
      </c>
    </row>
    <row r="50" spans="1:10" ht="14.5" x14ac:dyDescent="0.35">
      <c r="A50" s="25" t="s">
        <v>60</v>
      </c>
      <c r="B50" s="7" t="s">
        <v>132</v>
      </c>
      <c r="C50" s="8">
        <v>990</v>
      </c>
      <c r="D50" s="8">
        <v>1814</v>
      </c>
      <c r="E50" s="20">
        <f t="shared" si="0"/>
        <v>824</v>
      </c>
      <c r="F50" s="9">
        <v>0.45</v>
      </c>
      <c r="G50" s="9" t="str">
        <f>IF(TableJumiaProducts[[#This Row],[Discount]]&lt;20%, "Low Discount", IF(TableJumiaProducts[[#This Row],[Discount]]&lt;=40%, "Medium Discount", "High Discount"))</f>
        <v>High Discount</v>
      </c>
      <c r="H50" s="7">
        <v>6</v>
      </c>
      <c r="I50" s="21">
        <v>2.2000000000000002</v>
      </c>
      <c r="J50" s="7" t="str">
        <f>IF(TableJumiaProducts[[#This Row],[Rating]]="","Uknown", IF(TableJumiaProducts[[#This Row],[Rating]]&lt;3, "Poor", IF(TableJumiaProducts[[#This Row],[Rating]]&lt;4.5, "Average", "Excellent")))</f>
        <v>Poor</v>
      </c>
    </row>
    <row r="51" spans="1:10" ht="14.5" x14ac:dyDescent="0.35">
      <c r="A51" s="26" t="s">
        <v>51</v>
      </c>
      <c r="B51" s="10" t="s">
        <v>132</v>
      </c>
      <c r="C51" s="11">
        <v>499</v>
      </c>
      <c r="D51" s="11">
        <v>900</v>
      </c>
      <c r="E51" s="20">
        <f t="shared" si="0"/>
        <v>401</v>
      </c>
      <c r="F51" s="12">
        <v>0.45</v>
      </c>
      <c r="G51" s="12" t="str">
        <f>IF(TableJumiaProducts[[#This Row],[Discount]]&lt;20%, "Low Discount", IF(TableJumiaProducts[[#This Row],[Discount]]&lt;=40%, "Medium Discount", "High Discount"))</f>
        <v>High Discount</v>
      </c>
      <c r="H51" s="10"/>
      <c r="I51" s="22"/>
      <c r="J51" s="10" t="str">
        <f>IF(TableJumiaProducts[[#This Row],[Rating]]="","Uknown", IF(TableJumiaProducts[[#This Row],[Rating]]&lt;3, "Poor", IF(TableJumiaProducts[[#This Row],[Rating]]&lt;4.5, "Average", "Excellent")))</f>
        <v>Uknown</v>
      </c>
    </row>
    <row r="52" spans="1:10" ht="14.5" x14ac:dyDescent="0.35">
      <c r="A52" s="25" t="s">
        <v>63</v>
      </c>
      <c r="B52" s="7" t="s">
        <v>138</v>
      </c>
      <c r="C52" s="8">
        <v>382</v>
      </c>
      <c r="D52" s="8">
        <v>700</v>
      </c>
      <c r="E52" s="20">
        <f t="shared" si="0"/>
        <v>318</v>
      </c>
      <c r="F52" s="9">
        <v>0.45</v>
      </c>
      <c r="G52" s="9" t="str">
        <f>IF(TableJumiaProducts[[#This Row],[Discount]]&lt;20%, "Low Discount", IF(TableJumiaProducts[[#This Row],[Discount]]&lt;=40%, "Medium Discount", "High Discount"))</f>
        <v>High Discount</v>
      </c>
      <c r="H52" s="7">
        <v>17</v>
      </c>
      <c r="I52" s="21">
        <v>2.6</v>
      </c>
      <c r="J52" s="7" t="str">
        <f>IF(TableJumiaProducts[[#This Row],[Rating]]="","Uknown", IF(TableJumiaProducts[[#This Row],[Rating]]&lt;3, "Poor", IF(TableJumiaProducts[[#This Row],[Rating]]&lt;4.5, "Average", "Excellent")))</f>
        <v>Poor</v>
      </c>
    </row>
    <row r="53" spans="1:10" ht="14.5" x14ac:dyDescent="0.35">
      <c r="A53" s="26" t="s">
        <v>70</v>
      </c>
      <c r="B53" s="10" t="s">
        <v>133</v>
      </c>
      <c r="C53" s="11">
        <v>690</v>
      </c>
      <c r="D53" s="11">
        <v>1200</v>
      </c>
      <c r="E53" s="20">
        <f t="shared" si="0"/>
        <v>510</v>
      </c>
      <c r="F53" s="12">
        <v>0.43</v>
      </c>
      <c r="G53" s="12" t="str">
        <f>IF(TableJumiaProducts[[#This Row],[Discount]]&lt;20%, "Low Discount", IF(TableJumiaProducts[[#This Row],[Discount]]&lt;=40%, "Medium Discount", "High Discount"))</f>
        <v>High Discount</v>
      </c>
      <c r="H53" s="10"/>
      <c r="I53" s="22"/>
      <c r="J53" s="10" t="str">
        <f>IF(TableJumiaProducts[[#This Row],[Rating]]="","Uknown", IF(TableJumiaProducts[[#This Row],[Rating]]&lt;3, "Poor", IF(TableJumiaProducts[[#This Row],[Rating]]&lt;4.5, "Average", "Excellent")))</f>
        <v>Uknown</v>
      </c>
    </row>
    <row r="54" spans="1:10" ht="14.5" x14ac:dyDescent="0.35">
      <c r="A54" s="25" t="s">
        <v>82</v>
      </c>
      <c r="B54" s="7" t="s">
        <v>134</v>
      </c>
      <c r="C54" s="8">
        <v>630</v>
      </c>
      <c r="D54" s="8">
        <v>1100</v>
      </c>
      <c r="E54" s="20">
        <f t="shared" si="0"/>
        <v>470</v>
      </c>
      <c r="F54" s="9">
        <v>0.43</v>
      </c>
      <c r="G54" s="9" t="str">
        <f>IF(TableJumiaProducts[[#This Row],[Discount]]&lt;20%, "Low Discount", IF(TableJumiaProducts[[#This Row],[Discount]]&lt;=40%, "Medium Discount", "High Discount"))</f>
        <v>High Discount</v>
      </c>
      <c r="H54" s="7"/>
      <c r="I54" s="21"/>
      <c r="J54" s="7" t="str">
        <f>IF(TableJumiaProducts[[#This Row],[Rating]]="","Uknown", IF(TableJumiaProducts[[#This Row],[Rating]]&lt;3, "Poor", IF(TableJumiaProducts[[#This Row],[Rating]]&lt;4.5, "Average", "Excellent")))</f>
        <v>Uknown</v>
      </c>
    </row>
    <row r="55" spans="1:10" ht="14.5" x14ac:dyDescent="0.35">
      <c r="A55" s="26" t="s">
        <v>66</v>
      </c>
      <c r="B55" s="10" t="s">
        <v>138</v>
      </c>
      <c r="C55" s="11">
        <v>509</v>
      </c>
      <c r="D55" s="11">
        <v>899</v>
      </c>
      <c r="E55" s="20">
        <f t="shared" si="0"/>
        <v>390</v>
      </c>
      <c r="F55" s="12">
        <v>0.43</v>
      </c>
      <c r="G55" s="12" t="str">
        <f>IF(TableJumiaProducts[[#This Row],[Discount]]&lt;20%, "Low Discount", IF(TableJumiaProducts[[#This Row],[Discount]]&lt;=40%, "Medium Discount", "High Discount"))</f>
        <v>High Discount</v>
      </c>
      <c r="H55" s="10">
        <v>5</v>
      </c>
      <c r="I55" s="22">
        <v>3</v>
      </c>
      <c r="J55" s="10" t="str">
        <f>IF(TableJumiaProducts[[#This Row],[Rating]]="","Uknown", IF(TableJumiaProducts[[#This Row],[Rating]]&lt;3, "Poor", IF(TableJumiaProducts[[#This Row],[Rating]]&lt;4.5, "Average", "Excellent")))</f>
        <v>Average</v>
      </c>
    </row>
    <row r="56" spans="1:10" ht="14.5" x14ac:dyDescent="0.35">
      <c r="A56" s="25" t="s">
        <v>65</v>
      </c>
      <c r="B56" s="7" t="s">
        <v>138</v>
      </c>
      <c r="C56" s="8">
        <v>345</v>
      </c>
      <c r="D56" s="8">
        <v>602</v>
      </c>
      <c r="E56" s="20">
        <f t="shared" si="0"/>
        <v>257</v>
      </c>
      <c r="F56" s="9">
        <v>0.43</v>
      </c>
      <c r="G56" s="9" t="str">
        <f>IF(TableJumiaProducts[[#This Row],[Discount]]&lt;20%, "Low Discount", IF(TableJumiaProducts[[#This Row],[Discount]]&lt;=40%, "Medium Discount", "High Discount"))</f>
        <v>High Discount</v>
      </c>
      <c r="H56" s="7">
        <v>6</v>
      </c>
      <c r="I56" s="21">
        <v>2.2999999999999998</v>
      </c>
      <c r="J56" s="7" t="str">
        <f>IF(TableJumiaProducts[[#This Row],[Rating]]="","Uknown", IF(TableJumiaProducts[[#This Row],[Rating]]&lt;3, "Poor", IF(TableJumiaProducts[[#This Row],[Rating]]&lt;4.5, "Average", "Excellent")))</f>
        <v>Poor</v>
      </c>
    </row>
    <row r="57" spans="1:10" ht="14.5" x14ac:dyDescent="0.35">
      <c r="A57" s="25" t="s">
        <v>20</v>
      </c>
      <c r="B57" s="7" t="s">
        <v>133</v>
      </c>
      <c r="C57" s="8">
        <v>1860</v>
      </c>
      <c r="D57" s="8">
        <v>3220</v>
      </c>
      <c r="E57" s="20">
        <f t="shared" si="0"/>
        <v>1360</v>
      </c>
      <c r="F57" s="9">
        <v>0.42</v>
      </c>
      <c r="G57" s="9" t="str">
        <f>IF(TableJumiaProducts[[#This Row],[Discount]]&lt;20%, "Low Discount", IF(TableJumiaProducts[[#This Row],[Discount]]&lt;=40%, "Medium Discount", "High Discount"))</f>
        <v>High Discount</v>
      </c>
      <c r="H57" s="7"/>
      <c r="I57" s="21"/>
      <c r="J57" s="7" t="str">
        <f>IF(TableJumiaProducts[[#This Row],[Rating]]="","Uknown", IF(TableJumiaProducts[[#This Row],[Rating]]&lt;3, "Poor", IF(TableJumiaProducts[[#This Row],[Rating]]&lt;4.5, "Average", "Excellent")))</f>
        <v>Uknown</v>
      </c>
    </row>
    <row r="58" spans="1:10" ht="14.5" x14ac:dyDescent="0.35">
      <c r="A58" s="25" t="s">
        <v>93</v>
      </c>
      <c r="B58" s="7" t="s">
        <v>131</v>
      </c>
      <c r="C58" s="8">
        <v>1080</v>
      </c>
      <c r="D58" s="8">
        <v>1874</v>
      </c>
      <c r="E58" s="20">
        <f t="shared" si="0"/>
        <v>794</v>
      </c>
      <c r="F58" s="9">
        <v>0.42</v>
      </c>
      <c r="G58" s="9" t="str">
        <f>IF(TableJumiaProducts[[#This Row],[Discount]]&lt;20%, "Low Discount", IF(TableJumiaProducts[[#This Row],[Discount]]&lt;=40%, "Medium Discount", "High Discount"))</f>
        <v>High Discount</v>
      </c>
      <c r="H58" s="7"/>
      <c r="I58" s="21"/>
      <c r="J58" s="7" t="str">
        <f>IF(TableJumiaProducts[[#This Row],[Rating]]="","Uknown", IF(TableJumiaProducts[[#This Row],[Rating]]&lt;3, "Poor", IF(TableJumiaProducts[[#This Row],[Rating]]&lt;4.5, "Average", "Excellent")))</f>
        <v>Uknown</v>
      </c>
    </row>
    <row r="59" spans="1:10" ht="14.5" x14ac:dyDescent="0.35">
      <c r="A59" s="26" t="s">
        <v>39</v>
      </c>
      <c r="B59" s="10" t="s">
        <v>132</v>
      </c>
      <c r="C59" s="11">
        <v>610</v>
      </c>
      <c r="D59" s="11">
        <v>1060</v>
      </c>
      <c r="E59" s="20">
        <f t="shared" si="0"/>
        <v>450</v>
      </c>
      <c r="F59" s="12">
        <v>0.42</v>
      </c>
      <c r="G59" s="12" t="str">
        <f>IF(TableJumiaProducts[[#This Row],[Discount]]&lt;20%, "Low Discount", IF(TableJumiaProducts[[#This Row],[Discount]]&lt;=40%, "Medium Discount", "High Discount"))</f>
        <v>High Discount</v>
      </c>
      <c r="H59" s="10"/>
      <c r="I59" s="22"/>
      <c r="J59" s="10" t="str">
        <f>IF(TableJumiaProducts[[#This Row],[Rating]]="","Uknown", IF(TableJumiaProducts[[#This Row],[Rating]]&lt;3, "Poor", IF(TableJumiaProducts[[#This Row],[Rating]]&lt;4.5, "Average", "Excellent")))</f>
        <v>Uknown</v>
      </c>
    </row>
    <row r="60" spans="1:10" ht="14.5" x14ac:dyDescent="0.35">
      <c r="A60" s="25" t="s">
        <v>14</v>
      </c>
      <c r="B60" s="7" t="s">
        <v>131</v>
      </c>
      <c r="C60" s="8">
        <v>501</v>
      </c>
      <c r="D60" s="8">
        <v>860</v>
      </c>
      <c r="E60" s="20">
        <f t="shared" si="0"/>
        <v>359</v>
      </c>
      <c r="F60" s="9">
        <v>0.42</v>
      </c>
      <c r="G60" s="9" t="str">
        <f>IF(TableJumiaProducts[[#This Row],[Discount]]&lt;20%, "Low Discount", IF(TableJumiaProducts[[#This Row],[Discount]]&lt;=40%, "Medium Discount", "High Discount"))</f>
        <v>High Discount</v>
      </c>
      <c r="H60" s="7">
        <v>6</v>
      </c>
      <c r="I60" s="21">
        <v>4.5</v>
      </c>
      <c r="J60" s="7" t="str">
        <f>IF(TableJumiaProducts[[#This Row],[Rating]]="","Uknown", IF(TableJumiaProducts[[#This Row],[Rating]]&lt;3, "Poor", IF(TableJumiaProducts[[#This Row],[Rating]]&lt;4.5, "Average", "Excellent")))</f>
        <v>Excellent</v>
      </c>
    </row>
    <row r="61" spans="1:10" ht="14.5" x14ac:dyDescent="0.35">
      <c r="A61" s="25" t="s">
        <v>95</v>
      </c>
      <c r="B61" s="7" t="s">
        <v>131</v>
      </c>
      <c r="C61" s="8">
        <v>1420</v>
      </c>
      <c r="D61" s="8">
        <v>2420</v>
      </c>
      <c r="E61" s="20">
        <f t="shared" si="0"/>
        <v>1000</v>
      </c>
      <c r="F61" s="9">
        <v>0.41</v>
      </c>
      <c r="G61" s="9" t="str">
        <f>IF(TableJumiaProducts[[#This Row],[Discount]]&lt;20%, "Low Discount", IF(TableJumiaProducts[[#This Row],[Discount]]&lt;=40%, "Medium Discount", "High Discount"))</f>
        <v>High Discount</v>
      </c>
      <c r="H61" s="7"/>
      <c r="I61" s="21"/>
      <c r="J61" s="7" t="str">
        <f>IF(TableJumiaProducts[[#This Row],[Rating]]="","Uknown", IF(TableJumiaProducts[[#This Row],[Rating]]&lt;3, "Poor", IF(TableJumiaProducts[[#This Row],[Rating]]&lt;4.5, "Average", "Excellent")))</f>
        <v>Uknown</v>
      </c>
    </row>
    <row r="62" spans="1:10" ht="14.5" x14ac:dyDescent="0.35">
      <c r="A62" s="25" t="s">
        <v>50</v>
      </c>
      <c r="B62" s="7" t="s">
        <v>136</v>
      </c>
      <c r="C62" s="8">
        <v>799</v>
      </c>
      <c r="D62" s="8">
        <v>1343</v>
      </c>
      <c r="E62" s="20">
        <f t="shared" si="0"/>
        <v>544</v>
      </c>
      <c r="F62" s="9">
        <v>0.41</v>
      </c>
      <c r="G62" s="9" t="str">
        <f>IF(TableJumiaProducts[[#This Row],[Discount]]&lt;20%, "Low Discount", IF(TableJumiaProducts[[#This Row],[Discount]]&lt;=40%, "Medium Discount", "High Discount"))</f>
        <v>High Discount</v>
      </c>
      <c r="H62" s="7"/>
      <c r="I62" s="21"/>
      <c r="J62" s="7" t="str">
        <f>IF(TableJumiaProducts[[#This Row],[Rating]]="","Uknown", IF(TableJumiaProducts[[#This Row],[Rating]]&lt;3, "Poor", IF(TableJumiaProducts[[#This Row],[Rating]]&lt;4.5, "Average", "Excellent")))</f>
        <v>Uknown</v>
      </c>
    </row>
    <row r="63" spans="1:10" ht="14.5" x14ac:dyDescent="0.35">
      <c r="A63" s="25" t="s">
        <v>34</v>
      </c>
      <c r="B63" s="7" t="s">
        <v>138</v>
      </c>
      <c r="C63" s="8">
        <v>389</v>
      </c>
      <c r="D63" s="8">
        <v>656</v>
      </c>
      <c r="E63" s="20">
        <f t="shared" si="0"/>
        <v>267</v>
      </c>
      <c r="F63" s="9">
        <v>0.41</v>
      </c>
      <c r="G63" s="9" t="str">
        <f>IF(TableJumiaProducts[[#This Row],[Discount]]&lt;20%, "Low Discount", IF(TableJumiaProducts[[#This Row],[Discount]]&lt;=40%, "Medium Discount", "High Discount"))</f>
        <v>High Discount</v>
      </c>
      <c r="H63" s="7">
        <v>36</v>
      </c>
      <c r="I63" s="21">
        <v>4.3</v>
      </c>
      <c r="J63" s="7" t="str">
        <f>IF(TableJumiaProducts[[#This Row],[Rating]]="","Uknown", IF(TableJumiaProducts[[#This Row],[Rating]]&lt;3, "Poor", IF(TableJumiaProducts[[#This Row],[Rating]]&lt;4.5, "Average", "Excellent")))</f>
        <v>Average</v>
      </c>
    </row>
    <row r="64" spans="1:10" ht="14.5" x14ac:dyDescent="0.35">
      <c r="A64" s="25" t="s">
        <v>32</v>
      </c>
      <c r="B64" s="7" t="s">
        <v>132</v>
      </c>
      <c r="C64" s="8">
        <v>1620</v>
      </c>
      <c r="D64" s="8">
        <v>2690</v>
      </c>
      <c r="E64" s="20">
        <f t="shared" si="0"/>
        <v>1070</v>
      </c>
      <c r="F64" s="9">
        <v>0.4</v>
      </c>
      <c r="G64" s="9" t="str">
        <f>IF(TableJumiaProducts[[#This Row],[Discount]]&lt;20%, "Low Discount", IF(TableJumiaProducts[[#This Row],[Discount]]&lt;=40%, "Medium Discount", "High Discount"))</f>
        <v>Medium Discount</v>
      </c>
      <c r="H64" s="7">
        <v>1</v>
      </c>
      <c r="I64" s="21">
        <v>5</v>
      </c>
      <c r="J64" s="7" t="str">
        <f>IF(TableJumiaProducts[[#This Row],[Rating]]="","Uknown", IF(TableJumiaProducts[[#This Row],[Rating]]&lt;3, "Poor", IF(TableJumiaProducts[[#This Row],[Rating]]&lt;4.5, "Average", "Excellent")))</f>
        <v>Excellent</v>
      </c>
    </row>
    <row r="65" spans="1:10" ht="14.5" x14ac:dyDescent="0.35">
      <c r="A65" s="25" t="s">
        <v>62</v>
      </c>
      <c r="B65" s="7" t="s">
        <v>131</v>
      </c>
      <c r="C65" s="8">
        <v>3750</v>
      </c>
      <c r="D65" s="8">
        <v>6143</v>
      </c>
      <c r="E65" s="20">
        <f t="shared" si="0"/>
        <v>2393</v>
      </c>
      <c r="F65" s="9">
        <v>0.39</v>
      </c>
      <c r="G65" s="9" t="str">
        <f>IF(TableJumiaProducts[[#This Row],[Discount]]&lt;20%, "Low Discount", IF(TableJumiaProducts[[#This Row],[Discount]]&lt;=40%, "Medium Discount", "High Discount"))</f>
        <v>Medium Discount</v>
      </c>
      <c r="H65" s="7">
        <v>5</v>
      </c>
      <c r="I65" s="21">
        <v>3</v>
      </c>
      <c r="J65" s="7" t="str">
        <f>IF(TableJumiaProducts[[#This Row],[Rating]]="","Uknown", IF(TableJumiaProducts[[#This Row],[Rating]]&lt;3, "Poor", IF(TableJumiaProducts[[#This Row],[Rating]]&lt;4.5, "Average", "Excellent")))</f>
        <v>Average</v>
      </c>
    </row>
    <row r="66" spans="1:10" ht="14.5" x14ac:dyDescent="0.35">
      <c r="A66" s="25" t="s">
        <v>36</v>
      </c>
      <c r="B66" s="7" t="s">
        <v>132</v>
      </c>
      <c r="C66" s="8">
        <v>2750</v>
      </c>
      <c r="D66" s="8">
        <v>4471</v>
      </c>
      <c r="E66" s="20">
        <f t="shared" si="0"/>
        <v>1721</v>
      </c>
      <c r="F66" s="9">
        <v>0.38</v>
      </c>
      <c r="G66" s="9" t="str">
        <f>IF(TableJumiaProducts[[#This Row],[Discount]]&lt;20%, "Low Discount", IF(TableJumiaProducts[[#This Row],[Discount]]&lt;=40%, "Medium Discount", "High Discount"))</f>
        <v>Medium Discount</v>
      </c>
      <c r="H66" s="7"/>
      <c r="I66" s="21"/>
      <c r="J66" s="7" t="str">
        <f>IF(TableJumiaProducts[[#This Row],[Rating]]="","Uknown", IF(TableJumiaProducts[[#This Row],[Rating]]&lt;3, "Poor", IF(TableJumiaProducts[[#This Row],[Rating]]&lt;4.5, "Average", "Excellent")))</f>
        <v>Uknown</v>
      </c>
    </row>
    <row r="67" spans="1:10" ht="14.5" x14ac:dyDescent="0.35">
      <c r="A67" s="25" t="s">
        <v>35</v>
      </c>
      <c r="B67" s="7" t="s">
        <v>132</v>
      </c>
      <c r="C67" s="8">
        <v>1800</v>
      </c>
      <c r="D67" s="8">
        <v>2700</v>
      </c>
      <c r="E67" s="20">
        <f t="shared" ref="E67:E113" si="1">D67-C67</f>
        <v>900</v>
      </c>
      <c r="F67" s="9">
        <v>0.38</v>
      </c>
      <c r="G67" s="9" t="str">
        <f>IF(TableJumiaProducts[[#This Row],[Discount]]&lt;20%, "Low Discount", IF(TableJumiaProducts[[#This Row],[Discount]]&lt;=40%, "Medium Discount", "High Discount"))</f>
        <v>Medium Discount</v>
      </c>
      <c r="H67" s="7">
        <v>2</v>
      </c>
      <c r="I67" s="21">
        <v>4.5</v>
      </c>
      <c r="J67" s="7" t="str">
        <f>IF(TableJumiaProducts[[#This Row],[Rating]]="","Uknown", IF(TableJumiaProducts[[#This Row],[Rating]]&lt;3, "Poor", IF(TableJumiaProducts[[#This Row],[Rating]]&lt;4.5, "Average", "Excellent")))</f>
        <v>Excellent</v>
      </c>
    </row>
    <row r="68" spans="1:10" ht="14.5" x14ac:dyDescent="0.35">
      <c r="A68" s="25" t="s">
        <v>44</v>
      </c>
      <c r="B68" s="7" t="s">
        <v>136</v>
      </c>
      <c r="C68" s="8">
        <v>1200</v>
      </c>
      <c r="D68" s="8">
        <v>1950</v>
      </c>
      <c r="E68" s="20">
        <f t="shared" si="1"/>
        <v>750</v>
      </c>
      <c r="F68" s="9">
        <v>0.38</v>
      </c>
      <c r="G68" s="9" t="str">
        <f>IF(TableJumiaProducts[[#This Row],[Discount]]&lt;20%, "Low Discount", IF(TableJumiaProducts[[#This Row],[Discount]]&lt;=40%, "Medium Discount", "High Discount"))</f>
        <v>Medium Discount</v>
      </c>
      <c r="H68" s="7"/>
      <c r="I68" s="21"/>
      <c r="J68" s="7" t="str">
        <f>IF(TableJumiaProducts[[#This Row],[Rating]]="","Uknown", IF(TableJumiaProducts[[#This Row],[Rating]]&lt;3, "Poor", IF(TableJumiaProducts[[#This Row],[Rating]]&lt;4.5, "Average", "Excellent")))</f>
        <v>Uknown</v>
      </c>
    </row>
    <row r="69" spans="1:10" ht="14.5" x14ac:dyDescent="0.35">
      <c r="A69" s="26" t="s">
        <v>156</v>
      </c>
      <c r="B69" s="10" t="s">
        <v>131</v>
      </c>
      <c r="C69" s="11">
        <v>950</v>
      </c>
      <c r="D69" s="11">
        <v>1525</v>
      </c>
      <c r="E69" s="20">
        <f t="shared" si="1"/>
        <v>575</v>
      </c>
      <c r="F69" s="12">
        <v>0.38</v>
      </c>
      <c r="G69" s="12" t="str">
        <f>IF(TableJumiaProducts[[#This Row],[Discount]]&lt;20%, "Low Discount", IF(TableJumiaProducts[[#This Row],[Discount]]&lt;=40%, "Medium Discount", "High Discount"))</f>
        <v>Medium Discount</v>
      </c>
      <c r="H69" s="10">
        <v>2</v>
      </c>
      <c r="I69" s="22">
        <v>4.5</v>
      </c>
      <c r="J69" s="10" t="str">
        <f>IF(TableJumiaProducts[[#This Row],[Rating]]="","Uknown", IF(TableJumiaProducts[[#This Row],[Rating]]&lt;3, "Poor", IF(TableJumiaProducts[[#This Row],[Rating]]&lt;4.5, "Average", "Excellent")))</f>
        <v>Excellent</v>
      </c>
    </row>
    <row r="70" spans="1:10" ht="14.5" x14ac:dyDescent="0.35">
      <c r="A70" s="25" t="s">
        <v>5</v>
      </c>
      <c r="B70" s="7" t="s">
        <v>131</v>
      </c>
      <c r="C70" s="8">
        <v>1580</v>
      </c>
      <c r="D70" s="8">
        <v>2499</v>
      </c>
      <c r="E70" s="20">
        <f t="shared" si="1"/>
        <v>919</v>
      </c>
      <c r="F70" s="9">
        <v>0.37</v>
      </c>
      <c r="G70" s="9" t="str">
        <f>IF(TableJumiaProducts[[#This Row],[Discount]]&lt;20%, "Low Discount", IF(TableJumiaProducts[[#This Row],[Discount]]&lt;=40%, "Medium Discount", "High Discount"))</f>
        <v>Medium Discount</v>
      </c>
      <c r="H70" s="7">
        <v>7</v>
      </c>
      <c r="I70" s="21">
        <v>4.7</v>
      </c>
      <c r="J70" s="7" t="str">
        <f>IF(TableJumiaProducts[[#This Row],[Rating]]="","Uknown", IF(TableJumiaProducts[[#This Row],[Rating]]&lt;3, "Poor", IF(TableJumiaProducts[[#This Row],[Rating]]&lt;4.5, "Average", "Excellent")))</f>
        <v>Excellent</v>
      </c>
    </row>
    <row r="71" spans="1:10" ht="14.5" x14ac:dyDescent="0.35">
      <c r="A71" s="26" t="s">
        <v>9</v>
      </c>
      <c r="B71" s="10" t="s">
        <v>131</v>
      </c>
      <c r="C71" s="11">
        <v>988</v>
      </c>
      <c r="D71" s="11">
        <v>1580</v>
      </c>
      <c r="E71" s="20">
        <f t="shared" si="1"/>
        <v>592</v>
      </c>
      <c r="F71" s="12">
        <v>0.37</v>
      </c>
      <c r="G71" s="12" t="str">
        <f>IF(TableJumiaProducts[[#This Row],[Discount]]&lt;20%, "Low Discount", IF(TableJumiaProducts[[#This Row],[Discount]]&lt;=40%, "Medium Discount", "High Discount"))</f>
        <v>Medium Discount</v>
      </c>
      <c r="H71" s="10">
        <v>2</v>
      </c>
      <c r="I71" s="22">
        <v>4</v>
      </c>
      <c r="J71" s="10" t="str">
        <f>IF(TableJumiaProducts[[#This Row],[Rating]]="","Uknown", IF(TableJumiaProducts[[#This Row],[Rating]]&lt;3, "Poor", IF(TableJumiaProducts[[#This Row],[Rating]]&lt;4.5, "Average", "Excellent")))</f>
        <v>Average</v>
      </c>
    </row>
    <row r="72" spans="1:10" ht="14.5" x14ac:dyDescent="0.35">
      <c r="A72" s="25" t="s">
        <v>75</v>
      </c>
      <c r="B72" s="7" t="s">
        <v>136</v>
      </c>
      <c r="C72" s="8">
        <v>1460</v>
      </c>
      <c r="D72" s="8">
        <v>2290</v>
      </c>
      <c r="E72" s="20">
        <f t="shared" si="1"/>
        <v>830</v>
      </c>
      <c r="F72" s="9">
        <v>0.36</v>
      </c>
      <c r="G72" s="9" t="str">
        <f>IF(TableJumiaProducts[[#This Row],[Discount]]&lt;20%, "Low Discount", IF(TableJumiaProducts[[#This Row],[Discount]]&lt;=40%, "Medium Discount", "High Discount"))</f>
        <v>Medium Discount</v>
      </c>
      <c r="H72" s="7"/>
      <c r="I72" s="21"/>
      <c r="J72" s="7" t="str">
        <f>IF(TableJumiaProducts[[#This Row],[Rating]]="","Uknown", IF(TableJumiaProducts[[#This Row],[Rating]]&lt;3, "Poor", IF(TableJumiaProducts[[#This Row],[Rating]]&lt;4.5, "Average", "Excellent")))</f>
        <v>Uknown</v>
      </c>
    </row>
    <row r="73" spans="1:10" ht="14.5" x14ac:dyDescent="0.35">
      <c r="A73" s="26" t="s">
        <v>21</v>
      </c>
      <c r="B73" s="10" t="s">
        <v>131</v>
      </c>
      <c r="C73" s="11">
        <v>880</v>
      </c>
      <c r="D73" s="11">
        <v>1350</v>
      </c>
      <c r="E73" s="20">
        <f t="shared" si="1"/>
        <v>470</v>
      </c>
      <c r="F73" s="12">
        <v>0.35</v>
      </c>
      <c r="G73" s="12" t="str">
        <f>IF(TableJumiaProducts[[#This Row],[Discount]]&lt;20%, "Low Discount", IF(TableJumiaProducts[[#This Row],[Discount]]&lt;=40%, "Medium Discount", "High Discount"))</f>
        <v>Medium Discount</v>
      </c>
      <c r="H73" s="10">
        <v>6</v>
      </c>
      <c r="I73" s="22">
        <v>4</v>
      </c>
      <c r="J73" s="10" t="str">
        <f>IF(TableJumiaProducts[[#This Row],[Rating]]="","Uknown", IF(TableJumiaProducts[[#This Row],[Rating]]&lt;3, "Poor", IF(TableJumiaProducts[[#This Row],[Rating]]&lt;4.5, "Average", "Excellent")))</f>
        <v>Average</v>
      </c>
    </row>
    <row r="74" spans="1:10" ht="14.5" x14ac:dyDescent="0.35">
      <c r="A74" s="25" t="s">
        <v>24</v>
      </c>
      <c r="B74" s="7" t="s">
        <v>131</v>
      </c>
      <c r="C74" s="8">
        <v>420</v>
      </c>
      <c r="D74" s="8">
        <v>647</v>
      </c>
      <c r="E74" s="20">
        <f t="shared" si="1"/>
        <v>227</v>
      </c>
      <c r="F74" s="9">
        <v>0.35</v>
      </c>
      <c r="G74" s="9" t="str">
        <f>IF(TableJumiaProducts[[#This Row],[Discount]]&lt;20%, "Low Discount", IF(TableJumiaProducts[[#This Row],[Discount]]&lt;=40%, "Medium Discount", "High Discount"))</f>
        <v>Medium Discount</v>
      </c>
      <c r="H74" s="7">
        <v>49</v>
      </c>
      <c r="I74" s="21">
        <v>4.5999999999999996</v>
      </c>
      <c r="J74" s="7" t="str">
        <f>IF(TableJumiaProducts[[#This Row],[Rating]]="","Uknown", IF(TableJumiaProducts[[#This Row],[Rating]]&lt;3, "Poor", IF(TableJumiaProducts[[#This Row],[Rating]]&lt;4.5, "Average", "Excellent")))</f>
        <v>Excellent</v>
      </c>
    </row>
    <row r="75" spans="1:10" ht="14.5" x14ac:dyDescent="0.35">
      <c r="A75" s="25" t="s">
        <v>99</v>
      </c>
      <c r="B75" s="7" t="s">
        <v>134</v>
      </c>
      <c r="C75" s="8">
        <v>1190</v>
      </c>
      <c r="D75" s="8">
        <v>1810</v>
      </c>
      <c r="E75" s="20">
        <f t="shared" si="1"/>
        <v>620</v>
      </c>
      <c r="F75" s="9">
        <v>0.34</v>
      </c>
      <c r="G75" s="9" t="str">
        <f>IF(TableJumiaProducts[[#This Row],[Discount]]&lt;20%, "Low Discount", IF(TableJumiaProducts[[#This Row],[Discount]]&lt;=40%, "Medium Discount", "High Discount"))</f>
        <v>Medium Discount</v>
      </c>
      <c r="H75" s="7"/>
      <c r="I75" s="21"/>
      <c r="J75" s="7" t="str">
        <f>IF(TableJumiaProducts[[#This Row],[Rating]]="","Uknown", IF(TableJumiaProducts[[#This Row],[Rating]]&lt;3, "Poor", IF(TableJumiaProducts[[#This Row],[Rating]]&lt;4.5, "Average", "Excellent")))</f>
        <v>Uknown</v>
      </c>
    </row>
    <row r="76" spans="1:10" ht="14.5" x14ac:dyDescent="0.35">
      <c r="A76" s="25" t="s">
        <v>98</v>
      </c>
      <c r="B76" s="7" t="s">
        <v>136</v>
      </c>
      <c r="C76" s="8">
        <v>1150</v>
      </c>
      <c r="D76" s="8">
        <v>1737</v>
      </c>
      <c r="E76" s="20">
        <f t="shared" si="1"/>
        <v>587</v>
      </c>
      <c r="F76" s="9">
        <v>0.34</v>
      </c>
      <c r="G76" s="9" t="str">
        <f>IF(TableJumiaProducts[[#This Row],[Discount]]&lt;20%, "Low Discount", IF(TableJumiaProducts[[#This Row],[Discount]]&lt;=40%, "Medium Discount", "High Discount"))</f>
        <v>Medium Discount</v>
      </c>
      <c r="H76" s="7"/>
      <c r="I76" s="21"/>
      <c r="J76" s="7" t="str">
        <f>IF(TableJumiaProducts[[#This Row],[Rating]]="","Uknown", IF(TableJumiaProducts[[#This Row],[Rating]]&lt;3, "Poor", IF(TableJumiaProducts[[#This Row],[Rating]]&lt;4.5, "Average", "Excellent")))</f>
        <v>Uknown</v>
      </c>
    </row>
    <row r="77" spans="1:10" ht="14.5" x14ac:dyDescent="0.35">
      <c r="A77" s="25" t="s">
        <v>12</v>
      </c>
      <c r="B77" s="7" t="s">
        <v>134</v>
      </c>
      <c r="C77" s="8">
        <v>990</v>
      </c>
      <c r="D77" s="8">
        <v>1500</v>
      </c>
      <c r="E77" s="20">
        <f t="shared" si="1"/>
        <v>510</v>
      </c>
      <c r="F77" s="9">
        <v>0.34</v>
      </c>
      <c r="G77" s="9" t="str">
        <f>IF(TableJumiaProducts[[#This Row],[Discount]]&lt;20%, "Low Discount", IF(TableJumiaProducts[[#This Row],[Discount]]&lt;=40%, "Medium Discount", "High Discount"))</f>
        <v>Medium Discount</v>
      </c>
      <c r="H77" s="7">
        <v>39</v>
      </c>
      <c r="I77" s="21">
        <v>4.7</v>
      </c>
      <c r="J77" s="7" t="str">
        <f>IF(TableJumiaProducts[[#This Row],[Rating]]="","Uknown", IF(TableJumiaProducts[[#This Row],[Rating]]&lt;3, "Poor", IF(TableJumiaProducts[[#This Row],[Rating]]&lt;4.5, "Average", "Excellent")))</f>
        <v>Excellent</v>
      </c>
    </row>
    <row r="78" spans="1:10" ht="14.5" x14ac:dyDescent="0.35">
      <c r="A78" s="25" t="s">
        <v>29</v>
      </c>
      <c r="B78" s="7" t="s">
        <v>133</v>
      </c>
      <c r="C78" s="8">
        <v>980</v>
      </c>
      <c r="D78" s="8">
        <v>1490</v>
      </c>
      <c r="E78" s="20">
        <f t="shared" si="1"/>
        <v>510</v>
      </c>
      <c r="F78" s="9">
        <v>0.34</v>
      </c>
      <c r="G78" s="9" t="str">
        <f>IF(TableJumiaProducts[[#This Row],[Discount]]&lt;20%, "Low Discount", IF(TableJumiaProducts[[#This Row],[Discount]]&lt;=40%, "Medium Discount", "High Discount"))</f>
        <v>Medium Discount</v>
      </c>
      <c r="H78" s="7">
        <v>12</v>
      </c>
      <c r="I78" s="21">
        <v>4.7</v>
      </c>
      <c r="J78" s="7" t="str">
        <f>IF(TableJumiaProducts[[#This Row],[Rating]]="","Uknown", IF(TableJumiaProducts[[#This Row],[Rating]]&lt;3, "Poor", IF(TableJumiaProducts[[#This Row],[Rating]]&lt;4.5, "Average", "Excellent")))</f>
        <v>Excellent</v>
      </c>
    </row>
    <row r="79" spans="1:10" ht="14.5" x14ac:dyDescent="0.35">
      <c r="A79" s="26" t="s">
        <v>15</v>
      </c>
      <c r="B79" s="10" t="s">
        <v>131</v>
      </c>
      <c r="C79" s="11">
        <v>1680</v>
      </c>
      <c r="D79" s="11">
        <v>2499</v>
      </c>
      <c r="E79" s="20">
        <f t="shared" si="1"/>
        <v>819</v>
      </c>
      <c r="F79" s="12">
        <v>0.33</v>
      </c>
      <c r="G79" s="12" t="str">
        <f>IF(TableJumiaProducts[[#This Row],[Discount]]&lt;20%, "Low Discount", IF(TableJumiaProducts[[#This Row],[Discount]]&lt;=40%, "Medium Discount", "High Discount"))</f>
        <v>Medium Discount</v>
      </c>
      <c r="H79" s="10">
        <v>9</v>
      </c>
      <c r="I79" s="22">
        <v>4.2</v>
      </c>
      <c r="J79" s="10" t="str">
        <f>IF(TableJumiaProducts[[#This Row],[Rating]]="","Uknown", IF(TableJumiaProducts[[#This Row],[Rating]]&lt;3, "Poor", IF(TableJumiaProducts[[#This Row],[Rating]]&lt;4.5, "Average", "Excellent")))</f>
        <v>Average</v>
      </c>
    </row>
    <row r="80" spans="1:10" ht="14.5" x14ac:dyDescent="0.35">
      <c r="A80" s="25" t="s">
        <v>42</v>
      </c>
      <c r="B80" s="7" t="s">
        <v>131</v>
      </c>
      <c r="C80" s="8">
        <v>1190</v>
      </c>
      <c r="D80" s="8">
        <v>1785</v>
      </c>
      <c r="E80" s="20">
        <f t="shared" si="1"/>
        <v>595</v>
      </c>
      <c r="F80" s="9">
        <v>0.33</v>
      </c>
      <c r="G80" s="9" t="str">
        <f>IF(TableJumiaProducts[[#This Row],[Discount]]&lt;20%, "Low Discount", IF(TableJumiaProducts[[#This Row],[Discount]]&lt;=40%, "Medium Discount", "High Discount"))</f>
        <v>Medium Discount</v>
      </c>
      <c r="H80" s="7"/>
      <c r="I80" s="21"/>
      <c r="J80" s="7" t="str">
        <f>IF(TableJumiaProducts[[#This Row],[Rating]]="","Uknown", IF(TableJumiaProducts[[#This Row],[Rating]]&lt;3, "Poor", IF(TableJumiaProducts[[#This Row],[Rating]]&lt;4.5, "Average", "Excellent")))</f>
        <v>Uknown</v>
      </c>
    </row>
    <row r="81" spans="1:10" ht="14.5" x14ac:dyDescent="0.35">
      <c r="A81" s="26" t="s">
        <v>26</v>
      </c>
      <c r="B81" s="10" t="s">
        <v>133</v>
      </c>
      <c r="C81" s="11">
        <v>1350</v>
      </c>
      <c r="D81" s="11">
        <v>1990</v>
      </c>
      <c r="E81" s="20">
        <f t="shared" si="1"/>
        <v>640</v>
      </c>
      <c r="F81" s="12">
        <v>0.32</v>
      </c>
      <c r="G81" s="12" t="str">
        <f>IF(TableJumiaProducts[[#This Row],[Discount]]&lt;20%, "Low Discount", IF(TableJumiaProducts[[#This Row],[Discount]]&lt;=40%, "Medium Discount", "High Discount"))</f>
        <v>Medium Discount</v>
      </c>
      <c r="H81" s="10">
        <v>13</v>
      </c>
      <c r="I81" s="22">
        <v>3.8</v>
      </c>
      <c r="J81" s="10" t="str">
        <f>IF(TableJumiaProducts[[#This Row],[Rating]]="","Uknown", IF(TableJumiaProducts[[#This Row],[Rating]]&lt;3, "Poor", IF(TableJumiaProducts[[#This Row],[Rating]]&lt;4.5, "Average", "Excellent")))</f>
        <v>Average</v>
      </c>
    </row>
    <row r="82" spans="1:10" ht="14.5" x14ac:dyDescent="0.35">
      <c r="A82" s="25" t="s">
        <v>27</v>
      </c>
      <c r="B82" s="7" t="s">
        <v>133</v>
      </c>
      <c r="C82" s="8">
        <v>1758</v>
      </c>
      <c r="D82" s="8">
        <v>2499</v>
      </c>
      <c r="E82" s="20">
        <f t="shared" si="1"/>
        <v>741</v>
      </c>
      <c r="F82" s="9">
        <v>0.3</v>
      </c>
      <c r="G82" s="9" t="str">
        <f>IF(TableJumiaProducts[[#This Row],[Discount]]&lt;20%, "Low Discount", IF(TableJumiaProducts[[#This Row],[Discount]]&lt;=40%, "Medium Discount", "High Discount"))</f>
        <v>Medium Discount</v>
      </c>
      <c r="H82" s="7">
        <v>20</v>
      </c>
      <c r="I82" s="21">
        <v>4.0999999999999996</v>
      </c>
      <c r="J82" s="7" t="str">
        <f>IF(TableJumiaProducts[[#This Row],[Rating]]="","Uknown", IF(TableJumiaProducts[[#This Row],[Rating]]&lt;3, "Poor", IF(TableJumiaProducts[[#This Row],[Rating]]&lt;4.5, "Average", "Excellent")))</f>
        <v>Average</v>
      </c>
    </row>
    <row r="83" spans="1:10" ht="14.5" x14ac:dyDescent="0.35">
      <c r="A83" s="26" t="s">
        <v>64</v>
      </c>
      <c r="B83" s="10" t="s">
        <v>132</v>
      </c>
      <c r="C83" s="11">
        <v>2300</v>
      </c>
      <c r="D83" s="11">
        <v>3240</v>
      </c>
      <c r="E83" s="20">
        <f t="shared" si="1"/>
        <v>940</v>
      </c>
      <c r="F83" s="12">
        <v>0.28999999999999998</v>
      </c>
      <c r="G83" s="12" t="str">
        <f>IF(TableJumiaProducts[[#This Row],[Discount]]&lt;20%, "Low Discount", IF(TableJumiaProducts[[#This Row],[Discount]]&lt;=40%, "Medium Discount", "High Discount"))</f>
        <v>Medium Discount</v>
      </c>
      <c r="H83" s="10">
        <v>5</v>
      </c>
      <c r="I83" s="22">
        <v>3</v>
      </c>
      <c r="J83" s="10" t="str">
        <f>IF(TableJumiaProducts[[#This Row],[Rating]]="","Uknown", IF(TableJumiaProducts[[#This Row],[Rating]]&lt;3, "Poor", IF(TableJumiaProducts[[#This Row],[Rating]]&lt;4.5, "Average", "Excellent")))</f>
        <v>Average</v>
      </c>
    </row>
    <row r="84" spans="1:10" ht="14.5" x14ac:dyDescent="0.35">
      <c r="A84" s="25" t="s">
        <v>54</v>
      </c>
      <c r="B84" s="7" t="s">
        <v>131</v>
      </c>
      <c r="C84" s="8">
        <v>2799</v>
      </c>
      <c r="D84" s="8">
        <v>3810</v>
      </c>
      <c r="E84" s="20">
        <f t="shared" si="1"/>
        <v>1011</v>
      </c>
      <c r="F84" s="9">
        <v>0.27</v>
      </c>
      <c r="G84" s="9" t="str">
        <f>IF(TableJumiaProducts[[#This Row],[Discount]]&lt;20%, "Low Discount", IF(TableJumiaProducts[[#This Row],[Discount]]&lt;=40%, "Medium Discount", "High Discount"))</f>
        <v>Medium Discount</v>
      </c>
      <c r="H84" s="7"/>
      <c r="I84" s="21"/>
      <c r="J84" s="7" t="str">
        <f>IF(TableJumiaProducts[[#This Row],[Rating]]="","Uknown", IF(TableJumiaProducts[[#This Row],[Rating]]&lt;3, "Poor", IF(TableJumiaProducts[[#This Row],[Rating]]&lt;4.5, "Average", "Excellent")))</f>
        <v>Uknown</v>
      </c>
    </row>
    <row r="85" spans="1:10" ht="14.5" x14ac:dyDescent="0.35">
      <c r="A85" s="26" t="s">
        <v>31</v>
      </c>
      <c r="B85" s="10" t="s">
        <v>134</v>
      </c>
      <c r="C85" s="11">
        <v>1980</v>
      </c>
      <c r="D85" s="11">
        <v>2699</v>
      </c>
      <c r="E85" s="20">
        <f t="shared" si="1"/>
        <v>719</v>
      </c>
      <c r="F85" s="12">
        <v>0.27</v>
      </c>
      <c r="G85" s="12" t="str">
        <f>IF(TableJumiaProducts[[#This Row],[Discount]]&lt;20%, "Low Discount", IF(TableJumiaProducts[[#This Row],[Discount]]&lt;=40%, "Medium Discount", "High Discount"))</f>
        <v>Medium Discount</v>
      </c>
      <c r="H85" s="10">
        <v>32</v>
      </c>
      <c r="I85" s="22">
        <v>4.5</v>
      </c>
      <c r="J85" s="10" t="str">
        <f>IF(TableJumiaProducts[[#This Row],[Rating]]="","Uknown", IF(TableJumiaProducts[[#This Row],[Rating]]&lt;3, "Poor", IF(TableJumiaProducts[[#This Row],[Rating]]&lt;4.5, "Average", "Excellent")))</f>
        <v>Excellent</v>
      </c>
    </row>
    <row r="86" spans="1:10" ht="14.5" x14ac:dyDescent="0.35">
      <c r="A86" s="25" t="s">
        <v>30</v>
      </c>
      <c r="B86" s="7" t="s">
        <v>134</v>
      </c>
      <c r="C86" s="8">
        <v>1940</v>
      </c>
      <c r="D86" s="8">
        <v>2650</v>
      </c>
      <c r="E86" s="20">
        <f t="shared" si="1"/>
        <v>710</v>
      </c>
      <c r="F86" s="9">
        <v>0.27</v>
      </c>
      <c r="G86" s="9" t="str">
        <f>IF(TableJumiaProducts[[#This Row],[Discount]]&lt;20%, "Low Discount", IF(TableJumiaProducts[[#This Row],[Discount]]&lt;=40%, "Medium Discount", "High Discount"))</f>
        <v>Medium Discount</v>
      </c>
      <c r="H86" s="7">
        <v>20</v>
      </c>
      <c r="I86" s="21">
        <v>4.7</v>
      </c>
      <c r="J86" s="7" t="str">
        <f>IF(TableJumiaProducts[[#This Row],[Rating]]="","Uknown", IF(TableJumiaProducts[[#This Row],[Rating]]&lt;3, "Poor", IF(TableJumiaProducts[[#This Row],[Rating]]&lt;4.5, "Average", "Excellent")))</f>
        <v>Excellent</v>
      </c>
    </row>
    <row r="87" spans="1:10" ht="14.5" x14ac:dyDescent="0.35">
      <c r="A87" s="26" t="s">
        <v>6</v>
      </c>
      <c r="B87" s="10" t="s">
        <v>131</v>
      </c>
      <c r="C87" s="11">
        <v>1740</v>
      </c>
      <c r="D87" s="11">
        <v>2356</v>
      </c>
      <c r="E87" s="20">
        <f t="shared" si="1"/>
        <v>616</v>
      </c>
      <c r="F87" s="12">
        <v>0.26</v>
      </c>
      <c r="G87" s="12" t="str">
        <f>IF(TableJumiaProducts[[#This Row],[Discount]]&lt;20%, "Low Discount", IF(TableJumiaProducts[[#This Row],[Discount]]&lt;=40%, "Medium Discount", "High Discount"))</f>
        <v>Medium Discount</v>
      </c>
      <c r="H87" s="10">
        <v>5</v>
      </c>
      <c r="I87" s="22">
        <v>4.8</v>
      </c>
      <c r="J87" s="10" t="str">
        <f>IF(TableJumiaProducts[[#This Row],[Rating]]="","Uknown", IF(TableJumiaProducts[[#This Row],[Rating]]&lt;3, "Poor", IF(TableJumiaProducts[[#This Row],[Rating]]&lt;4.5, "Average", "Excellent")))</f>
        <v>Excellent</v>
      </c>
    </row>
    <row r="88" spans="1:10" ht="14.5" x14ac:dyDescent="0.35">
      <c r="A88" s="25" t="s">
        <v>4</v>
      </c>
      <c r="B88" s="7" t="s">
        <v>131</v>
      </c>
      <c r="C88" s="8">
        <v>2199</v>
      </c>
      <c r="D88" s="8">
        <v>2923</v>
      </c>
      <c r="E88" s="20">
        <f t="shared" si="1"/>
        <v>724</v>
      </c>
      <c r="F88" s="9">
        <v>0.25</v>
      </c>
      <c r="G88" s="9" t="str">
        <f>IF(TableJumiaProducts[[#This Row],[Discount]]&lt;20%, "Low Discount", IF(TableJumiaProducts[[#This Row],[Discount]]&lt;=40%, "Medium Discount", "High Discount"))</f>
        <v>Medium Discount</v>
      </c>
      <c r="H88" s="7">
        <v>24</v>
      </c>
      <c r="I88" s="21">
        <v>4.5999999999999996</v>
      </c>
      <c r="J88" s="7" t="str">
        <f>IF(TableJumiaProducts[[#This Row],[Rating]]="","Uknown", IF(TableJumiaProducts[[#This Row],[Rating]]&lt;3, "Poor", IF(TableJumiaProducts[[#This Row],[Rating]]&lt;4.5, "Average", "Excellent")))</f>
        <v>Excellent</v>
      </c>
    </row>
    <row r="89" spans="1:10" ht="14.5" x14ac:dyDescent="0.35">
      <c r="A89" s="25" t="s">
        <v>8</v>
      </c>
      <c r="B89" s="7" t="s">
        <v>133</v>
      </c>
      <c r="C89" s="8">
        <v>2319</v>
      </c>
      <c r="D89" s="8">
        <v>3032</v>
      </c>
      <c r="E89" s="20">
        <f t="shared" si="1"/>
        <v>713</v>
      </c>
      <c r="F89" s="9">
        <v>0.24</v>
      </c>
      <c r="G89" s="9" t="str">
        <f>IF(TableJumiaProducts[[#This Row],[Discount]]&lt;20%, "Low Discount", IF(TableJumiaProducts[[#This Row],[Discount]]&lt;=40%, "Medium Discount", "High Discount"))</f>
        <v>Medium Discount</v>
      </c>
      <c r="H89" s="7">
        <v>55</v>
      </c>
      <c r="I89" s="21">
        <v>4.5999999999999996</v>
      </c>
      <c r="J89" s="7" t="str">
        <f>IF(TableJumiaProducts[[#This Row],[Rating]]="","Uknown", IF(TableJumiaProducts[[#This Row],[Rating]]&lt;3, "Poor", IF(TableJumiaProducts[[#This Row],[Rating]]&lt;4.5, "Average", "Excellent")))</f>
        <v>Excellent</v>
      </c>
    </row>
    <row r="90" spans="1:10" ht="14.5" x14ac:dyDescent="0.35">
      <c r="A90" s="25" t="s">
        <v>97</v>
      </c>
      <c r="B90" s="7" t="s">
        <v>133</v>
      </c>
      <c r="C90" s="8">
        <v>198</v>
      </c>
      <c r="D90" s="8">
        <v>260</v>
      </c>
      <c r="E90" s="20">
        <f t="shared" si="1"/>
        <v>62</v>
      </c>
      <c r="F90" s="9">
        <v>0.24</v>
      </c>
      <c r="G90" s="9" t="str">
        <f>IF(TableJumiaProducts[[#This Row],[Discount]]&lt;20%, "Low Discount", IF(TableJumiaProducts[[#This Row],[Discount]]&lt;=40%, "Medium Discount", "High Discount"))</f>
        <v>Medium Discount</v>
      </c>
      <c r="H90" s="7"/>
      <c r="I90" s="21"/>
      <c r="J90" s="7" t="str">
        <f>IF(TableJumiaProducts[[#This Row],[Rating]]="","Uknown", IF(TableJumiaProducts[[#This Row],[Rating]]&lt;3, "Poor", IF(TableJumiaProducts[[#This Row],[Rating]]&lt;4.5, "Average", "Excellent")))</f>
        <v>Uknown</v>
      </c>
    </row>
    <row r="91" spans="1:10" ht="14.5" x14ac:dyDescent="0.35">
      <c r="A91" s="26" t="s">
        <v>22</v>
      </c>
      <c r="B91" s="10" t="s">
        <v>132</v>
      </c>
      <c r="C91" s="11">
        <v>1650</v>
      </c>
      <c r="D91" s="11">
        <v>2150</v>
      </c>
      <c r="E91" s="20">
        <f t="shared" si="1"/>
        <v>500</v>
      </c>
      <c r="F91" s="12">
        <v>0.23</v>
      </c>
      <c r="G91" s="12" t="str">
        <f>IF(TableJumiaProducts[[#This Row],[Discount]]&lt;20%, "Low Discount", IF(TableJumiaProducts[[#This Row],[Discount]]&lt;=40%, "Medium Discount", "High Discount"))</f>
        <v>Medium Discount</v>
      </c>
      <c r="H91" s="10">
        <v>14</v>
      </c>
      <c r="I91" s="22">
        <v>4.4000000000000004</v>
      </c>
      <c r="J91" s="10" t="str">
        <f>IF(TableJumiaProducts[[#This Row],[Rating]]="","Uknown", IF(TableJumiaProducts[[#This Row],[Rating]]&lt;3, "Poor", IF(TableJumiaProducts[[#This Row],[Rating]]&lt;4.5, "Average", "Excellent")))</f>
        <v>Average</v>
      </c>
    </row>
    <row r="92" spans="1:10" ht="14.5" x14ac:dyDescent="0.35">
      <c r="A92" s="25" t="s">
        <v>59</v>
      </c>
      <c r="B92" s="7" t="s">
        <v>131</v>
      </c>
      <c r="C92" s="8">
        <v>1220</v>
      </c>
      <c r="D92" s="8">
        <v>1555</v>
      </c>
      <c r="E92" s="20">
        <f t="shared" si="1"/>
        <v>335</v>
      </c>
      <c r="F92" s="9">
        <v>0.22</v>
      </c>
      <c r="G92" s="9" t="str">
        <f>IF(TableJumiaProducts[[#This Row],[Discount]]&lt;20%, "Low Discount", IF(TableJumiaProducts[[#This Row],[Discount]]&lt;=40%, "Medium Discount", "High Discount"))</f>
        <v>Medium Discount</v>
      </c>
      <c r="H92" s="7">
        <v>16</v>
      </c>
      <c r="I92" s="21">
        <v>2.9</v>
      </c>
      <c r="J92" s="7" t="str">
        <f>IF(TableJumiaProducts[[#This Row],[Rating]]="","Uknown", IF(TableJumiaProducts[[#This Row],[Rating]]&lt;3, "Poor", IF(TableJumiaProducts[[#This Row],[Rating]]&lt;4.5, "Average", "Excellent")))</f>
        <v>Poor</v>
      </c>
    </row>
    <row r="93" spans="1:10" ht="14.5" x14ac:dyDescent="0.35">
      <c r="A93" s="26" t="s">
        <v>48</v>
      </c>
      <c r="B93" s="10" t="s">
        <v>134</v>
      </c>
      <c r="C93" s="11">
        <v>299</v>
      </c>
      <c r="D93" s="11">
        <v>384</v>
      </c>
      <c r="E93" s="20">
        <f t="shared" si="1"/>
        <v>85</v>
      </c>
      <c r="F93" s="12">
        <v>0.22</v>
      </c>
      <c r="G93" s="12" t="str">
        <f>IF(TableJumiaProducts[[#This Row],[Discount]]&lt;20%, "Low Discount", IF(TableJumiaProducts[[#This Row],[Discount]]&lt;=40%, "Medium Discount", "High Discount"))</f>
        <v>Medium Discount</v>
      </c>
      <c r="H93" s="10"/>
      <c r="I93" s="22"/>
      <c r="J93" s="10" t="str">
        <f>IF(TableJumiaProducts[[#This Row],[Rating]]="","Uknown", IF(TableJumiaProducts[[#This Row],[Rating]]&lt;3, "Poor", IF(TableJumiaProducts[[#This Row],[Rating]]&lt;4.5, "Average", "Excellent")))</f>
        <v>Uknown</v>
      </c>
    </row>
    <row r="94" spans="1:10" ht="14.5" x14ac:dyDescent="0.35">
      <c r="A94" s="25" t="s">
        <v>94</v>
      </c>
      <c r="B94" s="7" t="s">
        <v>131</v>
      </c>
      <c r="C94" s="8">
        <v>3640</v>
      </c>
      <c r="D94" s="8">
        <v>4588</v>
      </c>
      <c r="E94" s="20">
        <f t="shared" si="1"/>
        <v>948</v>
      </c>
      <c r="F94" s="9">
        <v>0.21</v>
      </c>
      <c r="G94" s="9" t="str">
        <f>IF(TableJumiaProducts[[#This Row],[Discount]]&lt;20%, "Low Discount", IF(TableJumiaProducts[[#This Row],[Discount]]&lt;=40%, "Medium Discount", "High Discount"))</f>
        <v>Medium Discount</v>
      </c>
      <c r="H94" s="7">
        <v>1</v>
      </c>
      <c r="I94" s="21">
        <v>5</v>
      </c>
      <c r="J94" s="7" t="str">
        <f>IF(TableJumiaProducts[[#This Row],[Rating]]="","Uknown", IF(TableJumiaProducts[[#This Row],[Rating]]&lt;3, "Poor", IF(TableJumiaProducts[[#This Row],[Rating]]&lt;4.5, "Average", "Excellent")))</f>
        <v>Excellent</v>
      </c>
    </row>
    <row r="95" spans="1:10" ht="14.5" x14ac:dyDescent="0.35">
      <c r="A95" s="26" t="s">
        <v>11</v>
      </c>
      <c r="B95" s="10" t="s">
        <v>131</v>
      </c>
      <c r="C95" s="11">
        <v>799</v>
      </c>
      <c r="D95" s="11">
        <v>999</v>
      </c>
      <c r="E95" s="20">
        <f t="shared" si="1"/>
        <v>200</v>
      </c>
      <c r="F95" s="12">
        <v>0.2</v>
      </c>
      <c r="G95" s="12" t="str">
        <f>IF(TableJumiaProducts[[#This Row],[Discount]]&lt;20%, "Low Discount", IF(TableJumiaProducts[[#This Row],[Discount]]&lt;=40%, "Medium Discount", "High Discount"))</f>
        <v>Medium Discount</v>
      </c>
      <c r="H95" s="10">
        <v>12</v>
      </c>
      <c r="I95" s="22">
        <v>4.0999999999999996</v>
      </c>
      <c r="J95" s="10" t="str">
        <f>IF(TableJumiaProducts[[#This Row],[Rating]]="","Uknown", IF(TableJumiaProducts[[#This Row],[Rating]]&lt;3, "Poor", IF(TableJumiaProducts[[#This Row],[Rating]]&lt;4.5, "Average", "Excellent")))</f>
        <v>Average</v>
      </c>
    </row>
    <row r="96" spans="1:10" ht="14.5" x14ac:dyDescent="0.35">
      <c r="A96" s="25" t="s">
        <v>17</v>
      </c>
      <c r="B96" s="7" t="s">
        <v>132</v>
      </c>
      <c r="C96" s="8">
        <v>2999</v>
      </c>
      <c r="D96" s="8">
        <v>3699</v>
      </c>
      <c r="E96" s="20">
        <f t="shared" si="1"/>
        <v>700</v>
      </c>
      <c r="F96" s="9">
        <v>0.19</v>
      </c>
      <c r="G96" s="9" t="str">
        <f>IF(TableJumiaProducts[[#This Row],[Discount]]&lt;20%, "Low Discount", IF(TableJumiaProducts[[#This Row],[Discount]]&lt;=40%, "Medium Discount", "High Discount"))</f>
        <v>Low Discount</v>
      </c>
      <c r="H96" s="7">
        <v>5</v>
      </c>
      <c r="I96" s="21">
        <v>4.5999999999999996</v>
      </c>
      <c r="J96" s="7" t="str">
        <f>IF(TableJumiaProducts[[#This Row],[Rating]]="","Uknown", IF(TableJumiaProducts[[#This Row],[Rating]]&lt;3, "Poor", IF(TableJumiaProducts[[#This Row],[Rating]]&lt;4.5, "Average", "Excellent")))</f>
        <v>Excellent</v>
      </c>
    </row>
    <row r="97" spans="1:10" ht="14.5" x14ac:dyDescent="0.35">
      <c r="A97" s="26" t="s">
        <v>25</v>
      </c>
      <c r="B97" s="10" t="s">
        <v>132</v>
      </c>
      <c r="C97" s="11">
        <v>2880</v>
      </c>
      <c r="D97" s="11">
        <v>3520</v>
      </c>
      <c r="E97" s="20">
        <f t="shared" si="1"/>
        <v>640</v>
      </c>
      <c r="F97" s="12">
        <v>0.18</v>
      </c>
      <c r="G97" s="12" t="str">
        <f>IF(TableJumiaProducts[[#This Row],[Discount]]&lt;20%, "Low Discount", IF(TableJumiaProducts[[#This Row],[Discount]]&lt;=40%, "Medium Discount", "High Discount"))</f>
        <v>Low Discount</v>
      </c>
      <c r="H97" s="10">
        <v>12</v>
      </c>
      <c r="I97" s="22">
        <v>3.8</v>
      </c>
      <c r="J97" s="10" t="str">
        <f>IF(TableJumiaProducts[[#This Row],[Rating]]="","Uknown", IF(TableJumiaProducts[[#This Row],[Rating]]&lt;3, "Poor", IF(TableJumiaProducts[[#This Row],[Rating]]&lt;4.5, "Average", "Excellent")))</f>
        <v>Average</v>
      </c>
    </row>
    <row r="98" spans="1:10" ht="14.5" x14ac:dyDescent="0.35">
      <c r="A98" s="25" t="s">
        <v>81</v>
      </c>
      <c r="B98" s="7" t="s">
        <v>138</v>
      </c>
      <c r="C98" s="8">
        <v>1468</v>
      </c>
      <c r="D98" s="8">
        <v>1699</v>
      </c>
      <c r="E98" s="20">
        <f t="shared" si="1"/>
        <v>231</v>
      </c>
      <c r="F98" s="9">
        <v>0.14000000000000001</v>
      </c>
      <c r="G98" s="9" t="str">
        <f>IF(TableJumiaProducts[[#This Row],[Discount]]&lt;20%, "Low Discount", IF(TableJumiaProducts[[#This Row],[Discount]]&lt;=40%, "Medium Discount", "High Discount"))</f>
        <v>Low Discount</v>
      </c>
      <c r="H98" s="7"/>
      <c r="I98" s="21"/>
      <c r="J98" s="7" t="str">
        <f>IF(TableJumiaProducts[[#This Row],[Rating]]="","Uknown", IF(TableJumiaProducts[[#This Row],[Rating]]&lt;3, "Poor", IF(TableJumiaProducts[[#This Row],[Rating]]&lt;4.5, "Average", "Excellent")))</f>
        <v>Uknown</v>
      </c>
    </row>
    <row r="99" spans="1:10" ht="14.5" x14ac:dyDescent="0.35">
      <c r="A99" s="25" t="s">
        <v>78</v>
      </c>
      <c r="B99" s="7" t="s">
        <v>132</v>
      </c>
      <c r="C99" s="8">
        <v>1466</v>
      </c>
      <c r="D99" s="8">
        <v>1699</v>
      </c>
      <c r="E99" s="20">
        <f t="shared" si="1"/>
        <v>233</v>
      </c>
      <c r="F99" s="9">
        <v>0.14000000000000001</v>
      </c>
      <c r="G99" s="9" t="str">
        <f>IF(TableJumiaProducts[[#This Row],[Discount]]&lt;20%, "Low Discount", IF(TableJumiaProducts[[#This Row],[Discount]]&lt;=40%, "Medium Discount", "High Discount"))</f>
        <v>Low Discount</v>
      </c>
      <c r="H99" s="7"/>
      <c r="I99" s="21"/>
      <c r="J99" s="7" t="str">
        <f>IF(TableJumiaProducts[[#This Row],[Rating]]="","Uknown", IF(TableJumiaProducts[[#This Row],[Rating]]&lt;3, "Poor", IF(TableJumiaProducts[[#This Row],[Rating]]&lt;4.5, "Average", "Excellent")))</f>
        <v>Uknown</v>
      </c>
    </row>
    <row r="100" spans="1:10" ht="14.5" x14ac:dyDescent="0.35">
      <c r="A100" s="25" t="s">
        <v>55</v>
      </c>
      <c r="B100" s="7" t="s">
        <v>133</v>
      </c>
      <c r="C100" s="8">
        <v>2170</v>
      </c>
      <c r="D100" s="8">
        <v>2500</v>
      </c>
      <c r="E100" s="20">
        <f t="shared" si="1"/>
        <v>330</v>
      </c>
      <c r="F100" s="9">
        <v>0.13</v>
      </c>
      <c r="G100" s="9" t="str">
        <f>IF(TableJumiaProducts[[#This Row],[Discount]]&lt;20%, "Low Discount", IF(TableJumiaProducts[[#This Row],[Discount]]&lt;=40%, "Medium Discount", "High Discount"))</f>
        <v>Low Discount</v>
      </c>
      <c r="H100" s="7">
        <v>6</v>
      </c>
      <c r="I100" s="21">
        <v>2.5</v>
      </c>
      <c r="J100" s="7" t="str">
        <f>IF(TableJumiaProducts[[#This Row],[Rating]]="","Uknown", IF(TableJumiaProducts[[#This Row],[Rating]]&lt;3, "Poor", IF(TableJumiaProducts[[#This Row],[Rating]]&lt;4.5, "Average", "Excellent")))</f>
        <v>Poor</v>
      </c>
    </row>
    <row r="101" spans="1:10" ht="14.5" x14ac:dyDescent="0.35">
      <c r="A101" s="25" t="s">
        <v>80</v>
      </c>
      <c r="B101" s="7" t="s">
        <v>133</v>
      </c>
      <c r="C101" s="8">
        <v>799</v>
      </c>
      <c r="D101" s="8">
        <v>900</v>
      </c>
      <c r="E101" s="20">
        <f t="shared" si="1"/>
        <v>101</v>
      </c>
      <c r="F101" s="9">
        <v>0.11</v>
      </c>
      <c r="G101" s="9" t="str">
        <f>IF(TableJumiaProducts[[#This Row],[Discount]]&lt;20%, "Low Discount", IF(TableJumiaProducts[[#This Row],[Discount]]&lt;=40%, "Medium Discount", "High Discount"))</f>
        <v>Low Discount</v>
      </c>
      <c r="H101" s="7"/>
      <c r="I101" s="21"/>
      <c r="J101" s="7" t="str">
        <f>IF(TableJumiaProducts[[#This Row],[Rating]]="","Uknown", IF(TableJumiaProducts[[#This Row],[Rating]]&lt;3, "Poor", IF(TableJumiaProducts[[#This Row],[Rating]]&lt;4.5, "Average", "Excellent")))</f>
        <v>Uknown</v>
      </c>
    </row>
    <row r="102" spans="1:10" ht="14.5" x14ac:dyDescent="0.35">
      <c r="A102" s="25" t="s">
        <v>7</v>
      </c>
      <c r="B102" s="7" t="s">
        <v>131</v>
      </c>
      <c r="C102" s="8">
        <v>2999</v>
      </c>
      <c r="D102" s="8">
        <v>3290</v>
      </c>
      <c r="E102" s="20">
        <f t="shared" si="1"/>
        <v>291</v>
      </c>
      <c r="F102" s="9">
        <v>0.09</v>
      </c>
      <c r="G102" s="9" t="str">
        <f>IF(TableJumiaProducts[[#This Row],[Discount]]&lt;20%, "Low Discount", IF(TableJumiaProducts[[#This Row],[Discount]]&lt;=40%, "Medium Discount", "High Discount"))</f>
        <v>Low Discount</v>
      </c>
      <c r="H102" s="7">
        <v>15</v>
      </c>
      <c r="I102" s="21">
        <v>4</v>
      </c>
      <c r="J102" s="7" t="str">
        <f>IF(TableJumiaProducts[[#This Row],[Rating]]="","Uknown", IF(TableJumiaProducts[[#This Row],[Rating]]&lt;3, "Poor", IF(TableJumiaProducts[[#This Row],[Rating]]&lt;4.5, "Average", "Excellent")))</f>
        <v>Average</v>
      </c>
    </row>
    <row r="103" spans="1:10" ht="14.5" x14ac:dyDescent="0.35">
      <c r="A103" s="25" t="s">
        <v>88</v>
      </c>
      <c r="B103" s="7" t="s">
        <v>138</v>
      </c>
      <c r="C103" s="8">
        <v>1526</v>
      </c>
      <c r="D103" s="8">
        <v>1660</v>
      </c>
      <c r="E103" s="20">
        <f t="shared" si="1"/>
        <v>134</v>
      </c>
      <c r="F103" s="9">
        <v>0.08</v>
      </c>
      <c r="G103" s="9" t="str">
        <f>IF(TableJumiaProducts[[#This Row],[Discount]]&lt;20%, "Low Discount", IF(TableJumiaProducts[[#This Row],[Discount]]&lt;=40%, "Medium Discount", "High Discount"))</f>
        <v>Low Discount</v>
      </c>
      <c r="H103" s="7"/>
      <c r="I103" s="21"/>
      <c r="J103" s="7" t="str">
        <f>IF(TableJumiaProducts[[#This Row],[Rating]]="","Uknown", IF(TableJumiaProducts[[#This Row],[Rating]]&lt;3, "Poor", IF(TableJumiaProducts[[#This Row],[Rating]]&lt;4.5, "Average", "Excellent")))</f>
        <v>Uknown</v>
      </c>
    </row>
    <row r="104" spans="1:10" ht="14.5" x14ac:dyDescent="0.35">
      <c r="A104" s="25" t="s">
        <v>91</v>
      </c>
      <c r="B104" s="7" t="s">
        <v>132</v>
      </c>
      <c r="C104" s="8">
        <v>3546</v>
      </c>
      <c r="D104" s="8">
        <v>3699</v>
      </c>
      <c r="E104" s="20">
        <f t="shared" si="1"/>
        <v>153</v>
      </c>
      <c r="F104" s="9">
        <v>0.04</v>
      </c>
      <c r="G104" s="9" t="str">
        <f>IF(TableJumiaProducts[[#This Row],[Discount]]&lt;20%, "Low Discount", IF(TableJumiaProducts[[#This Row],[Discount]]&lt;=40%, "Medium Discount", "High Discount"))</f>
        <v>Low Discount</v>
      </c>
      <c r="H104" s="7"/>
      <c r="I104" s="21"/>
      <c r="J104" s="7" t="str">
        <f>IF(TableJumiaProducts[[#This Row],[Rating]]="","Uknown", IF(TableJumiaProducts[[#This Row],[Rating]]&lt;3, "Poor", IF(TableJumiaProducts[[#This Row],[Rating]]&lt;4.5, "Average", "Excellent")))</f>
        <v>Uknown</v>
      </c>
    </row>
    <row r="105" spans="1:10" ht="14.5" x14ac:dyDescent="0.35">
      <c r="A105" s="25" t="s">
        <v>71</v>
      </c>
      <c r="B105" s="7" t="s">
        <v>139</v>
      </c>
      <c r="C105" s="8">
        <v>1732</v>
      </c>
      <c r="D105" s="8">
        <v>1799</v>
      </c>
      <c r="E105" s="20">
        <f t="shared" si="1"/>
        <v>67</v>
      </c>
      <c r="F105" s="9">
        <v>0.04</v>
      </c>
      <c r="G105" s="9" t="str">
        <f>IF(TableJumiaProducts[[#This Row],[Discount]]&lt;20%, "Low Discount", IF(TableJumiaProducts[[#This Row],[Discount]]&lt;=40%, "Medium Discount", "High Discount"))</f>
        <v>Low Discount</v>
      </c>
      <c r="H105" s="7"/>
      <c r="I105" s="21"/>
      <c r="J105" s="7" t="str">
        <f>IF(TableJumiaProducts[[#This Row],[Rating]]="","Uknown", IF(TableJumiaProducts[[#This Row],[Rating]]&lt;3, "Poor", IF(TableJumiaProducts[[#This Row],[Rating]]&lt;4.5, "Average", "Excellent")))</f>
        <v>Uknown</v>
      </c>
    </row>
    <row r="106" spans="1:10" ht="14.5" x14ac:dyDescent="0.35">
      <c r="A106" s="25" t="s">
        <v>49</v>
      </c>
      <c r="B106" s="7" t="s">
        <v>133</v>
      </c>
      <c r="C106" s="8">
        <v>1459</v>
      </c>
      <c r="D106" s="8">
        <v>1499</v>
      </c>
      <c r="E106" s="20">
        <f t="shared" si="1"/>
        <v>40</v>
      </c>
      <c r="F106" s="9">
        <v>0.03</v>
      </c>
      <c r="G106" s="9" t="str">
        <f>IF(TableJumiaProducts[[#This Row],[Discount]]&lt;20%, "Low Discount", IF(TableJumiaProducts[[#This Row],[Discount]]&lt;=40%, "Medium Discount", "High Discount"))</f>
        <v>Low Discount</v>
      </c>
      <c r="H106" s="7"/>
      <c r="I106" s="21"/>
      <c r="J106" s="7" t="str">
        <f>IF(TableJumiaProducts[[#This Row],[Rating]]="","Uknown", IF(TableJumiaProducts[[#This Row],[Rating]]&lt;3, "Poor", IF(TableJumiaProducts[[#This Row],[Rating]]&lt;4.5, "Average", "Excellent")))</f>
        <v>Uknown</v>
      </c>
    </row>
    <row r="107" spans="1:10" ht="14.5" x14ac:dyDescent="0.35">
      <c r="A107" s="26" t="s">
        <v>40</v>
      </c>
      <c r="B107" s="10" t="s">
        <v>134</v>
      </c>
      <c r="C107" s="11">
        <v>2132</v>
      </c>
      <c r="D107" s="11">
        <v>2169</v>
      </c>
      <c r="E107" s="20">
        <f t="shared" si="1"/>
        <v>37</v>
      </c>
      <c r="F107" s="12">
        <v>0.02</v>
      </c>
      <c r="G107" s="12" t="str">
        <f>IF(TableJumiaProducts[[#This Row],[Discount]]&lt;20%, "Low Discount", IF(TableJumiaProducts[[#This Row],[Discount]]&lt;=40%, "Medium Discount", "High Discount"))</f>
        <v>Low Discount</v>
      </c>
      <c r="H107" s="10"/>
      <c r="I107" s="22"/>
      <c r="J107" s="10" t="str">
        <f>IF(TableJumiaProducts[[#This Row],[Rating]]="","Uknown", IF(TableJumiaProducts[[#This Row],[Rating]]&lt;3, "Poor", IF(TableJumiaProducts[[#This Row],[Rating]]&lt;4.5, "Average", "Excellent")))</f>
        <v>Uknown</v>
      </c>
    </row>
    <row r="108" spans="1:10" ht="14.5" x14ac:dyDescent="0.35">
      <c r="A108" s="25" t="s">
        <v>101</v>
      </c>
      <c r="B108" s="7" t="s">
        <v>133</v>
      </c>
      <c r="C108" s="8">
        <v>1768</v>
      </c>
      <c r="D108" s="8">
        <v>1799</v>
      </c>
      <c r="E108" s="20">
        <f t="shared" si="1"/>
        <v>31</v>
      </c>
      <c r="F108" s="9">
        <v>0.02</v>
      </c>
      <c r="G108" s="9" t="str">
        <f>IF(TableJumiaProducts[[#This Row],[Discount]]&lt;20%, "Low Discount", IF(TableJumiaProducts[[#This Row],[Discount]]&lt;=40%, "Medium Discount", "High Discount"))</f>
        <v>Low Discount</v>
      </c>
      <c r="H108" s="7"/>
      <c r="I108" s="21"/>
      <c r="J108" s="7" t="str">
        <f>IF(TableJumiaProducts[[#This Row],[Rating]]="","Uknown", IF(TableJumiaProducts[[#This Row],[Rating]]&lt;3, "Poor", IF(TableJumiaProducts[[#This Row],[Rating]]&lt;4.5, "Average", "Excellent")))</f>
        <v>Uknown</v>
      </c>
    </row>
    <row r="109" spans="1:10" ht="14.5" x14ac:dyDescent="0.35">
      <c r="A109" s="25" t="s">
        <v>76</v>
      </c>
      <c r="B109" s="7" t="s">
        <v>131</v>
      </c>
      <c r="C109" s="8">
        <v>1666</v>
      </c>
      <c r="D109" s="8">
        <v>1699</v>
      </c>
      <c r="E109" s="20">
        <f t="shared" si="1"/>
        <v>33</v>
      </c>
      <c r="F109" s="9">
        <v>0.02</v>
      </c>
      <c r="G109" s="9" t="str">
        <f>IF(TableJumiaProducts[[#This Row],[Discount]]&lt;20%, "Low Discount", IF(TableJumiaProducts[[#This Row],[Discount]]&lt;=40%, "Medium Discount", "High Discount"))</f>
        <v>Low Discount</v>
      </c>
      <c r="H109" s="7"/>
      <c r="I109" s="21"/>
      <c r="J109" s="7" t="str">
        <f>IF(TableJumiaProducts[[#This Row],[Rating]]="","Uknown", IF(TableJumiaProducts[[#This Row],[Rating]]&lt;3, "Poor", IF(TableJumiaProducts[[#This Row],[Rating]]&lt;4.5, "Average", "Excellent")))</f>
        <v>Uknown</v>
      </c>
    </row>
    <row r="110" spans="1:10" ht="14.5" x14ac:dyDescent="0.35">
      <c r="A110" s="25" t="s">
        <v>47</v>
      </c>
      <c r="B110" s="7" t="s">
        <v>135</v>
      </c>
      <c r="C110" s="8">
        <v>1660</v>
      </c>
      <c r="D110" s="8">
        <v>1699</v>
      </c>
      <c r="E110" s="20">
        <f t="shared" si="1"/>
        <v>39</v>
      </c>
      <c r="F110" s="9">
        <v>0.02</v>
      </c>
      <c r="G110" s="9" t="str">
        <f>IF(TableJumiaProducts[[#This Row],[Discount]]&lt;20%, "Low Discount", IF(TableJumiaProducts[[#This Row],[Discount]]&lt;=40%, "Medium Discount", "High Discount"))</f>
        <v>Low Discount</v>
      </c>
      <c r="H110" s="7"/>
      <c r="I110" s="21"/>
      <c r="J110" s="7" t="str">
        <f>IF(TableJumiaProducts[[#This Row],[Rating]]="","Uknown", IF(TableJumiaProducts[[#This Row],[Rating]]&lt;3, "Poor", IF(TableJumiaProducts[[#This Row],[Rating]]&lt;4.5, "Average", "Excellent")))</f>
        <v>Uknown</v>
      </c>
    </row>
    <row r="111" spans="1:10" ht="14.5" x14ac:dyDescent="0.35">
      <c r="A111" s="25" t="s">
        <v>100</v>
      </c>
      <c r="B111" s="7" t="s">
        <v>131</v>
      </c>
      <c r="C111" s="8">
        <v>1658</v>
      </c>
      <c r="D111" s="8">
        <v>1699</v>
      </c>
      <c r="E111" s="20">
        <f t="shared" si="1"/>
        <v>41</v>
      </c>
      <c r="F111" s="9">
        <v>0.02</v>
      </c>
      <c r="G111" s="9" t="str">
        <f>IF(TableJumiaProducts[[#This Row],[Discount]]&lt;20%, "Low Discount", IF(TableJumiaProducts[[#This Row],[Discount]]&lt;=40%, "Medium Discount", "High Discount"))</f>
        <v>Low Discount</v>
      </c>
      <c r="H111" s="7"/>
      <c r="I111" s="21"/>
      <c r="J111" s="7" t="str">
        <f>IF(TableJumiaProducts[[#This Row],[Rating]]="","Uknown", IF(TableJumiaProducts[[#This Row],[Rating]]&lt;3, "Poor", IF(TableJumiaProducts[[#This Row],[Rating]]&lt;4.5, "Average", "Excellent")))</f>
        <v>Uknown</v>
      </c>
    </row>
    <row r="112" spans="1:10" ht="14.5" x14ac:dyDescent="0.35">
      <c r="A112" s="25" t="s">
        <v>89</v>
      </c>
      <c r="B112" s="7" t="s">
        <v>133</v>
      </c>
      <c r="C112" s="8">
        <v>1462</v>
      </c>
      <c r="D112" s="8">
        <v>1499</v>
      </c>
      <c r="E112" s="20">
        <f t="shared" si="1"/>
        <v>37</v>
      </c>
      <c r="F112" s="9">
        <v>0.02</v>
      </c>
      <c r="G112" s="9" t="str">
        <f>IF(TableJumiaProducts[[#This Row],[Discount]]&lt;20%, "Low Discount", IF(TableJumiaProducts[[#This Row],[Discount]]&lt;=40%, "Medium Discount", "High Discount"))</f>
        <v>Low Discount</v>
      </c>
      <c r="H112" s="7"/>
      <c r="I112" s="21"/>
      <c r="J112" s="7" t="str">
        <f>IF(TableJumiaProducts[[#This Row],[Rating]]="","Uknown", IF(TableJumiaProducts[[#This Row],[Rating]]&lt;3, "Poor", IF(TableJumiaProducts[[#This Row],[Rating]]&lt;4.5, "Average", "Excellent")))</f>
        <v>Uknown</v>
      </c>
    </row>
    <row r="113" spans="1:10" ht="14.5" x14ac:dyDescent="0.35">
      <c r="A113" s="27" t="s">
        <v>96</v>
      </c>
      <c r="B113" s="28" t="s">
        <v>132</v>
      </c>
      <c r="C113" s="29">
        <v>1875</v>
      </c>
      <c r="D113" s="29">
        <v>1899</v>
      </c>
      <c r="E113" s="30">
        <f t="shared" si="1"/>
        <v>24</v>
      </c>
      <c r="F113" s="31">
        <v>0.01</v>
      </c>
      <c r="G113" s="31" t="str">
        <f>IF(TableJumiaProducts[[#This Row],[Discount]]&lt;20%, "Low Discount", IF(TableJumiaProducts[[#This Row],[Discount]]&lt;=40%, "Medium Discount", "High Discount"))</f>
        <v>Low Discount</v>
      </c>
      <c r="H113" s="28"/>
      <c r="I113" s="32"/>
      <c r="J113" s="10" t="str">
        <f>IF(TableJumiaProducts[[#This Row],[Rating]]="","Uknown", IF(TableJumiaProducts[[#This Row],[Rating]]&lt;3, "Poor", IF(TableJumiaProducts[[#This Row],[Rating]]&lt;4.5, "Average", "Excellent")))</f>
        <v>Uknown</v>
      </c>
    </row>
  </sheetData>
  <phoneticPr fontId="18" type="noConversion"/>
  <conditionalFormatting sqref="F1:F1048576">
    <cfRule type="top10" dxfId="17" priority="5" bottom="1" rank="10"/>
    <cfRule type="top10" dxfId="16" priority="6" rank="10"/>
  </conditionalFormatting>
  <conditionalFormatting sqref="H1:H1048576">
    <cfRule type="top10" dxfId="15" priority="3" bottom="1" rank="10"/>
    <cfRule type="top10" dxfId="14" priority="4" rank="10"/>
  </conditionalFormatting>
  <conditionalFormatting sqref="I1:I1048576">
    <cfRule type="top10" dxfId="13" priority="1" bottom="1" rank="10"/>
    <cfRule type="top10" dxfId="12" priority="2"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12B6A-6022-4861-999D-91D72231362C}">
  <dimension ref="A1"/>
  <sheetViews>
    <sheetView workbookViewId="0">
      <selection activeCell="H33" sqref="H33"/>
    </sheetView>
  </sheetViews>
  <sheetFormatPr defaultRowHeight="16" x14ac:dyDescent="0.4"/>
  <cols>
    <col min="1" max="16384" width="8.726562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6EB5-BD03-42C8-BC95-555FEE9E20B0}">
  <dimension ref="A1:I11"/>
  <sheetViews>
    <sheetView tabSelected="1" workbookViewId="0">
      <selection activeCell="C15" sqref="C15"/>
    </sheetView>
  </sheetViews>
  <sheetFormatPr defaultRowHeight="14.5" x14ac:dyDescent="0.35"/>
  <cols>
    <col min="1" max="1" width="24.90625" customWidth="1"/>
    <col min="2" max="2" width="49.7265625" customWidth="1"/>
    <col min="3" max="3" width="15.1796875" bestFit="1" customWidth="1"/>
    <col min="4" max="4" width="14.453125" customWidth="1"/>
    <col min="5" max="5" width="10.1796875" customWidth="1"/>
    <col min="6" max="6" width="16.7265625" bestFit="1" customWidth="1"/>
    <col min="7" max="7" width="17.453125" bestFit="1" customWidth="1"/>
    <col min="8" max="8" width="15.1796875" bestFit="1" customWidth="1"/>
  </cols>
  <sheetData>
    <row r="1" spans="1:9" x14ac:dyDescent="0.35">
      <c r="A1" s="41" t="s">
        <v>165</v>
      </c>
      <c r="B1" s="41" t="s">
        <v>164</v>
      </c>
      <c r="F1" s="1" t="s">
        <v>170</v>
      </c>
      <c r="G1" s="1"/>
      <c r="H1" s="1"/>
    </row>
    <row r="2" spans="1:9" x14ac:dyDescent="0.35">
      <c r="A2" t="s">
        <v>166</v>
      </c>
      <c r="B2" s="24">
        <f>AVERAGE(TableJumiaProducts[Current Price])</f>
        <v>1186.8928571428571</v>
      </c>
      <c r="F2" s="2" t="s">
        <v>159</v>
      </c>
      <c r="G2" t="s">
        <v>129</v>
      </c>
      <c r="H2" t="s">
        <v>130</v>
      </c>
    </row>
    <row r="3" spans="1:9" x14ac:dyDescent="0.35">
      <c r="A3" t="s">
        <v>167</v>
      </c>
      <c r="B3" s="24">
        <f>AVERAGE(TableJumiaProducts[Old Price])</f>
        <v>1811.1071428571429</v>
      </c>
      <c r="F3" s="3" t="s">
        <v>131</v>
      </c>
      <c r="G3" s="23">
        <v>0.36031249999999992</v>
      </c>
      <c r="H3" s="6">
        <v>3.7299999999999995</v>
      </c>
    </row>
    <row r="4" spans="1:9" x14ac:dyDescent="0.35">
      <c r="A4" t="s">
        <v>161</v>
      </c>
      <c r="B4" s="5">
        <f>AVERAGE(TableJumiaProducts[Discount])</f>
        <v>0.36776785714285737</v>
      </c>
      <c r="F4" s="3" t="s">
        <v>135</v>
      </c>
      <c r="G4" s="23">
        <v>0.255</v>
      </c>
      <c r="H4" s="6"/>
    </row>
    <row r="5" spans="1:9" x14ac:dyDescent="0.35">
      <c r="A5" t="s">
        <v>162</v>
      </c>
      <c r="B5" s="6">
        <f>AVERAGE(TableJumiaProducts[Rating])</f>
        <v>3.8894736842105253</v>
      </c>
      <c r="F5" s="3" t="s">
        <v>138</v>
      </c>
      <c r="G5" s="23">
        <v>0.37666666666666671</v>
      </c>
      <c r="H5" s="6">
        <v>3.3000000000000003</v>
      </c>
      <c r="I5" s="39"/>
    </row>
    <row r="6" spans="1:9" x14ac:dyDescent="0.35">
      <c r="F6" s="3" t="s">
        <v>134</v>
      </c>
      <c r="G6" s="23">
        <v>0.32111111111111112</v>
      </c>
      <c r="H6" s="6">
        <v>3.88</v>
      </c>
    </row>
    <row r="7" spans="1:9" x14ac:dyDescent="0.35">
      <c r="A7" t="s">
        <v>164</v>
      </c>
      <c r="B7" t="s">
        <v>0</v>
      </c>
      <c r="C7" t="s">
        <v>171</v>
      </c>
      <c r="D7" t="s">
        <v>108</v>
      </c>
      <c r="F7" s="3" t="s">
        <v>136</v>
      </c>
      <c r="G7" s="23">
        <v>0.43499999999999994</v>
      </c>
      <c r="H7" s="6">
        <v>3</v>
      </c>
    </row>
    <row r="8" spans="1:9" s="39" customFormat="1" x14ac:dyDescent="0.35">
      <c r="A8" s="39" t="s">
        <v>163</v>
      </c>
      <c r="B8" s="7" t="s">
        <v>62</v>
      </c>
      <c r="C8" s="40" t="s">
        <v>169</v>
      </c>
      <c r="D8" s="39">
        <v>3750</v>
      </c>
      <c r="F8" s="3" t="s">
        <v>139</v>
      </c>
      <c r="G8" s="23">
        <v>0.28000000000000003</v>
      </c>
      <c r="H8" s="6">
        <v>4.3</v>
      </c>
      <c r="I8"/>
    </row>
    <row r="9" spans="1:9" x14ac:dyDescent="0.35">
      <c r="A9" t="s">
        <v>168</v>
      </c>
      <c r="B9" s="7" t="s">
        <v>19</v>
      </c>
      <c r="C9" s="7" t="s">
        <v>134</v>
      </c>
      <c r="D9" s="8">
        <v>38</v>
      </c>
      <c r="F9" s="3" t="s">
        <v>132</v>
      </c>
      <c r="G9" s="23">
        <v>0.40483870967741942</v>
      </c>
      <c r="H9" s="6">
        <v>4.375</v>
      </c>
    </row>
    <row r="10" spans="1:9" x14ac:dyDescent="0.35">
      <c r="F10" s="3" t="s">
        <v>133</v>
      </c>
      <c r="G10" s="23">
        <v>0.33052631578947367</v>
      </c>
      <c r="H10" s="6">
        <v>3.8250000000000002</v>
      </c>
    </row>
    <row r="11" spans="1:9" x14ac:dyDescent="0.35">
      <c r="F11" s="3" t="s">
        <v>128</v>
      </c>
      <c r="G11" s="23">
        <v>0.36776785714285715</v>
      </c>
      <c r="H11" s="6">
        <v>3.8894736842105262</v>
      </c>
    </row>
  </sheetData>
  <pageMargins left="0.7" right="0.7" top="0.75" bottom="0.75" header="0.3" footer="0.3"/>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CBE3D-8F4C-4685-B4EE-822BF413D4B5}">
  <dimension ref="A1:B113"/>
  <sheetViews>
    <sheetView workbookViewId="0">
      <selection activeCell="E8" sqref="E8"/>
    </sheetView>
  </sheetViews>
  <sheetFormatPr defaultRowHeight="14.5" x14ac:dyDescent="0.35"/>
  <cols>
    <col min="1" max="1" width="86.1796875" bestFit="1" customWidth="1"/>
    <col min="2" max="2" width="12.36328125" bestFit="1" customWidth="1"/>
  </cols>
  <sheetData>
    <row r="1" spans="1:2" x14ac:dyDescent="0.35">
      <c r="A1" t="s">
        <v>172</v>
      </c>
    </row>
    <row r="3" spans="1:2" x14ac:dyDescent="0.35">
      <c r="A3" s="2" t="s">
        <v>159</v>
      </c>
      <c r="B3" t="s">
        <v>160</v>
      </c>
    </row>
    <row r="4" spans="1:2" x14ac:dyDescent="0.35">
      <c r="A4" s="3" t="s">
        <v>35</v>
      </c>
      <c r="B4" s="4">
        <v>4.5</v>
      </c>
    </row>
    <row r="5" spans="1:2" x14ac:dyDescent="0.35">
      <c r="A5" s="3" t="s">
        <v>12</v>
      </c>
      <c r="B5" s="4">
        <v>4.7</v>
      </c>
    </row>
    <row r="6" spans="1:2" x14ac:dyDescent="0.35">
      <c r="A6" s="3" t="s">
        <v>156</v>
      </c>
      <c r="B6" s="4">
        <v>4.5</v>
      </c>
    </row>
    <row r="7" spans="1:2" x14ac:dyDescent="0.35">
      <c r="A7" s="3" t="s">
        <v>26</v>
      </c>
      <c r="B7" s="4">
        <v>3.8</v>
      </c>
    </row>
    <row r="8" spans="1:2" x14ac:dyDescent="0.35">
      <c r="A8" s="3" t="s">
        <v>29</v>
      </c>
      <c r="B8" s="4">
        <v>4.7</v>
      </c>
    </row>
    <row r="9" spans="1:2" x14ac:dyDescent="0.35">
      <c r="A9" s="3" t="s">
        <v>58</v>
      </c>
      <c r="B9" s="4">
        <v>2.8</v>
      </c>
    </row>
    <row r="10" spans="1:2" x14ac:dyDescent="0.35">
      <c r="A10" s="3" t="s">
        <v>54</v>
      </c>
      <c r="B10" s="4"/>
    </row>
    <row r="11" spans="1:2" x14ac:dyDescent="0.35">
      <c r="A11" s="3" t="s">
        <v>10</v>
      </c>
      <c r="B11" s="4">
        <v>3.8</v>
      </c>
    </row>
    <row r="12" spans="1:2" x14ac:dyDescent="0.35">
      <c r="A12" s="3" t="s">
        <v>8</v>
      </c>
      <c r="B12" s="4">
        <v>4.5999999999999996</v>
      </c>
    </row>
    <row r="13" spans="1:2" x14ac:dyDescent="0.35">
      <c r="A13" s="3" t="s">
        <v>97</v>
      </c>
      <c r="B13" s="4"/>
    </row>
    <row r="14" spans="1:2" x14ac:dyDescent="0.35">
      <c r="A14" s="3" t="s">
        <v>76</v>
      </c>
      <c r="B14" s="4"/>
    </row>
    <row r="15" spans="1:2" x14ac:dyDescent="0.35">
      <c r="A15" s="3" t="s">
        <v>7</v>
      </c>
      <c r="B15" s="4">
        <v>4</v>
      </c>
    </row>
    <row r="16" spans="1:2" x14ac:dyDescent="0.35">
      <c r="A16" s="3" t="s">
        <v>96</v>
      </c>
      <c r="B16" s="4"/>
    </row>
    <row r="17" spans="1:2" x14ac:dyDescent="0.35">
      <c r="A17" s="3" t="s">
        <v>87</v>
      </c>
      <c r="B17" s="4"/>
    </row>
    <row r="18" spans="1:2" x14ac:dyDescent="0.35">
      <c r="A18" s="3" t="s">
        <v>44</v>
      </c>
      <c r="B18" s="4"/>
    </row>
    <row r="19" spans="1:2" x14ac:dyDescent="0.35">
      <c r="A19" s="3" t="s">
        <v>69</v>
      </c>
      <c r="B19" s="4"/>
    </row>
    <row r="20" spans="1:2" x14ac:dyDescent="0.35">
      <c r="A20" s="3" t="s">
        <v>62</v>
      </c>
      <c r="B20" s="4">
        <v>3</v>
      </c>
    </row>
    <row r="21" spans="1:2" x14ac:dyDescent="0.35">
      <c r="A21" s="3" t="s">
        <v>61</v>
      </c>
      <c r="B21" s="4">
        <v>2.2999999999999998</v>
      </c>
    </row>
    <row r="22" spans="1:2" x14ac:dyDescent="0.35">
      <c r="A22" s="3" t="s">
        <v>18</v>
      </c>
      <c r="B22" s="4">
        <v>4.5999999999999996</v>
      </c>
    </row>
    <row r="23" spans="1:2" x14ac:dyDescent="0.35">
      <c r="A23" s="3" t="s">
        <v>70</v>
      </c>
      <c r="B23" s="4"/>
    </row>
    <row r="24" spans="1:2" x14ac:dyDescent="0.35">
      <c r="A24" s="3" t="s">
        <v>19</v>
      </c>
      <c r="B24" s="4">
        <v>3.3</v>
      </c>
    </row>
    <row r="25" spans="1:2" x14ac:dyDescent="0.35">
      <c r="A25" s="3" t="s">
        <v>90</v>
      </c>
      <c r="B25" s="4"/>
    </row>
    <row r="26" spans="1:2" x14ac:dyDescent="0.35">
      <c r="A26" s="3" t="s">
        <v>13</v>
      </c>
      <c r="B26" s="4">
        <v>4.8</v>
      </c>
    </row>
    <row r="27" spans="1:2" x14ac:dyDescent="0.35">
      <c r="A27" s="3" t="s">
        <v>37</v>
      </c>
      <c r="B27" s="4"/>
    </row>
    <row r="28" spans="1:2" x14ac:dyDescent="0.35">
      <c r="A28" s="3" t="s">
        <v>20</v>
      </c>
      <c r="B28" s="4"/>
    </row>
    <row r="29" spans="1:2" x14ac:dyDescent="0.35">
      <c r="A29" s="3" t="s">
        <v>55</v>
      </c>
      <c r="B29" s="4">
        <v>2.5</v>
      </c>
    </row>
    <row r="30" spans="1:2" x14ac:dyDescent="0.35">
      <c r="A30" s="3" t="s">
        <v>27</v>
      </c>
      <c r="B30" s="4">
        <v>4.0999999999999996</v>
      </c>
    </row>
    <row r="31" spans="1:2" x14ac:dyDescent="0.35">
      <c r="A31" s="3" t="s">
        <v>31</v>
      </c>
      <c r="B31" s="4">
        <v>4.5</v>
      </c>
    </row>
    <row r="32" spans="1:2" x14ac:dyDescent="0.35">
      <c r="A32" s="3" t="s">
        <v>30</v>
      </c>
      <c r="B32" s="4">
        <v>4.7</v>
      </c>
    </row>
    <row r="33" spans="1:2" x14ac:dyDescent="0.35">
      <c r="A33" s="3" t="s">
        <v>75</v>
      </c>
      <c r="B33" s="4"/>
    </row>
    <row r="34" spans="1:2" x14ac:dyDescent="0.35">
      <c r="A34" s="3" t="s">
        <v>57</v>
      </c>
      <c r="B34" s="4">
        <v>2.1</v>
      </c>
    </row>
    <row r="35" spans="1:2" x14ac:dyDescent="0.35">
      <c r="A35" s="3" t="s">
        <v>102</v>
      </c>
      <c r="B35" s="4"/>
    </row>
    <row r="36" spans="1:2" x14ac:dyDescent="0.35">
      <c r="A36" s="3" t="s">
        <v>86</v>
      </c>
      <c r="B36" s="4"/>
    </row>
    <row r="37" spans="1:2" x14ac:dyDescent="0.35">
      <c r="A37" s="3" t="s">
        <v>42</v>
      </c>
      <c r="B37" s="4"/>
    </row>
    <row r="38" spans="1:2" x14ac:dyDescent="0.35">
      <c r="A38" s="3" t="s">
        <v>72</v>
      </c>
      <c r="B38" s="4"/>
    </row>
    <row r="39" spans="1:2" x14ac:dyDescent="0.35">
      <c r="A39" s="3" t="s">
        <v>67</v>
      </c>
      <c r="B39" s="4">
        <v>2.2000000000000002</v>
      </c>
    </row>
    <row r="40" spans="1:2" x14ac:dyDescent="0.35">
      <c r="A40" s="3" t="s">
        <v>93</v>
      </c>
      <c r="B40" s="4"/>
    </row>
    <row r="41" spans="1:2" x14ac:dyDescent="0.35">
      <c r="A41" s="3" t="s">
        <v>95</v>
      </c>
      <c r="B41" s="4"/>
    </row>
    <row r="42" spans="1:2" x14ac:dyDescent="0.35">
      <c r="A42" s="3" t="s">
        <v>63</v>
      </c>
      <c r="B42" s="4">
        <v>2.6</v>
      </c>
    </row>
    <row r="43" spans="1:2" x14ac:dyDescent="0.35">
      <c r="A43" s="3" t="s">
        <v>53</v>
      </c>
      <c r="B43" s="4"/>
    </row>
    <row r="44" spans="1:2" x14ac:dyDescent="0.35">
      <c r="A44" s="3" t="s">
        <v>153</v>
      </c>
      <c r="B44" s="4">
        <v>5</v>
      </c>
    </row>
    <row r="45" spans="1:2" x14ac:dyDescent="0.35">
      <c r="A45" s="3" t="s">
        <v>60</v>
      </c>
      <c r="B45" s="4">
        <v>2.2000000000000002</v>
      </c>
    </row>
    <row r="46" spans="1:2" x14ac:dyDescent="0.35">
      <c r="A46" s="3" t="s">
        <v>92</v>
      </c>
      <c r="B46" s="4"/>
    </row>
    <row r="47" spans="1:2" x14ac:dyDescent="0.35">
      <c r="A47" s="3" t="s">
        <v>39</v>
      </c>
      <c r="B47" s="4"/>
    </row>
    <row r="48" spans="1:2" x14ac:dyDescent="0.35">
      <c r="A48" s="3" t="s">
        <v>74</v>
      </c>
      <c r="B48" s="4">
        <v>5</v>
      </c>
    </row>
    <row r="49" spans="1:2" x14ac:dyDescent="0.35">
      <c r="A49" s="3" t="s">
        <v>104</v>
      </c>
      <c r="B49" s="4"/>
    </row>
    <row r="50" spans="1:2" x14ac:dyDescent="0.35">
      <c r="A50" s="3" t="s">
        <v>46</v>
      </c>
      <c r="B50" s="4"/>
    </row>
    <row r="51" spans="1:2" x14ac:dyDescent="0.35">
      <c r="A51" s="3" t="s">
        <v>43</v>
      </c>
      <c r="B51" s="4"/>
    </row>
    <row r="52" spans="1:2" x14ac:dyDescent="0.35">
      <c r="A52" s="3" t="s">
        <v>79</v>
      </c>
      <c r="B52" s="4"/>
    </row>
    <row r="53" spans="1:2" x14ac:dyDescent="0.35">
      <c r="A53" s="3" t="s">
        <v>99</v>
      </c>
      <c r="B53" s="4"/>
    </row>
    <row r="54" spans="1:2" x14ac:dyDescent="0.35">
      <c r="A54" s="3" t="s">
        <v>41</v>
      </c>
      <c r="B54" s="4"/>
    </row>
    <row r="55" spans="1:2" x14ac:dyDescent="0.35">
      <c r="A55" s="3" t="s">
        <v>52</v>
      </c>
      <c r="B55" s="4"/>
    </row>
    <row r="56" spans="1:2" x14ac:dyDescent="0.35">
      <c r="A56" s="3" t="s">
        <v>33</v>
      </c>
      <c r="B56" s="4">
        <v>5</v>
      </c>
    </row>
    <row r="57" spans="1:2" x14ac:dyDescent="0.35">
      <c r="A57" s="3" t="s">
        <v>45</v>
      </c>
      <c r="B57" s="4"/>
    </row>
    <row r="58" spans="1:2" x14ac:dyDescent="0.35">
      <c r="A58" s="3" t="s">
        <v>71</v>
      </c>
      <c r="B58" s="4"/>
    </row>
    <row r="59" spans="1:2" x14ac:dyDescent="0.35">
      <c r="A59" s="3" t="s">
        <v>50</v>
      </c>
      <c r="B59" s="4"/>
    </row>
    <row r="60" spans="1:2" x14ac:dyDescent="0.35">
      <c r="A60" s="3" t="s">
        <v>9</v>
      </c>
      <c r="B60" s="4">
        <v>4</v>
      </c>
    </row>
    <row r="61" spans="1:2" x14ac:dyDescent="0.35">
      <c r="A61" s="3" t="s">
        <v>32</v>
      </c>
      <c r="B61" s="4">
        <v>5</v>
      </c>
    </row>
    <row r="62" spans="1:2" x14ac:dyDescent="0.35">
      <c r="A62" s="3" t="s">
        <v>68</v>
      </c>
      <c r="B62" s="4">
        <v>2.1</v>
      </c>
    </row>
    <row r="63" spans="1:2" x14ac:dyDescent="0.35">
      <c r="A63" s="3" t="s">
        <v>24</v>
      </c>
      <c r="B63" s="4">
        <v>4.5999999999999996</v>
      </c>
    </row>
    <row r="64" spans="1:2" x14ac:dyDescent="0.35">
      <c r="A64" s="3" t="s">
        <v>28</v>
      </c>
      <c r="B64" s="4">
        <v>4.3</v>
      </c>
    </row>
    <row r="65" spans="1:2" x14ac:dyDescent="0.35">
      <c r="A65" s="3" t="s">
        <v>22</v>
      </c>
      <c r="B65" s="4">
        <v>4.4000000000000004</v>
      </c>
    </row>
    <row r="66" spans="1:2" x14ac:dyDescent="0.35">
      <c r="A66" s="3" t="s">
        <v>11</v>
      </c>
      <c r="B66" s="4">
        <v>4.0999999999999996</v>
      </c>
    </row>
    <row r="67" spans="1:2" x14ac:dyDescent="0.35">
      <c r="A67" s="3" t="s">
        <v>77</v>
      </c>
      <c r="B67" s="4">
        <v>4</v>
      </c>
    </row>
    <row r="68" spans="1:2" x14ac:dyDescent="0.35">
      <c r="A68" s="3" t="s">
        <v>152</v>
      </c>
      <c r="B68" s="4">
        <v>2.7</v>
      </c>
    </row>
    <row r="69" spans="1:2" x14ac:dyDescent="0.35">
      <c r="A69" s="3" t="s">
        <v>94</v>
      </c>
      <c r="B69" s="4">
        <v>5</v>
      </c>
    </row>
    <row r="70" spans="1:2" x14ac:dyDescent="0.35">
      <c r="A70" s="3" t="s">
        <v>64</v>
      </c>
      <c r="B70" s="4">
        <v>3</v>
      </c>
    </row>
    <row r="71" spans="1:2" x14ac:dyDescent="0.35">
      <c r="A71" s="3" t="s">
        <v>23</v>
      </c>
      <c r="B71" s="4">
        <v>4.3</v>
      </c>
    </row>
    <row r="72" spans="1:2" x14ac:dyDescent="0.35">
      <c r="A72" s="3" t="s">
        <v>16</v>
      </c>
      <c r="B72" s="4">
        <v>5</v>
      </c>
    </row>
    <row r="73" spans="1:2" x14ac:dyDescent="0.35">
      <c r="A73" s="3" t="s">
        <v>14</v>
      </c>
      <c r="B73" s="4">
        <v>4.5</v>
      </c>
    </row>
    <row r="74" spans="1:2" x14ac:dyDescent="0.35">
      <c r="A74" s="3" t="s">
        <v>137</v>
      </c>
      <c r="B74" s="4">
        <v>4.8</v>
      </c>
    </row>
    <row r="75" spans="1:2" x14ac:dyDescent="0.35">
      <c r="A75" s="3" t="s">
        <v>36</v>
      </c>
      <c r="B75" s="4"/>
    </row>
    <row r="76" spans="1:2" x14ac:dyDescent="0.35">
      <c r="A76" s="3" t="s">
        <v>154</v>
      </c>
      <c r="B76" s="4">
        <v>4.3</v>
      </c>
    </row>
    <row r="77" spans="1:2" x14ac:dyDescent="0.35">
      <c r="A77" s="3" t="s">
        <v>21</v>
      </c>
      <c r="B77" s="4">
        <v>4</v>
      </c>
    </row>
    <row r="78" spans="1:2" x14ac:dyDescent="0.35">
      <c r="A78" s="3" t="s">
        <v>98</v>
      </c>
      <c r="B78" s="4"/>
    </row>
    <row r="79" spans="1:2" x14ac:dyDescent="0.35">
      <c r="A79" s="3" t="s">
        <v>17</v>
      </c>
      <c r="B79" s="4">
        <v>4.5999999999999996</v>
      </c>
    </row>
    <row r="80" spans="1:2" x14ac:dyDescent="0.35">
      <c r="A80" s="3" t="s">
        <v>73</v>
      </c>
      <c r="B80" s="4">
        <v>3</v>
      </c>
    </row>
    <row r="81" spans="1:2" x14ac:dyDescent="0.35">
      <c r="A81" s="3" t="s">
        <v>3</v>
      </c>
      <c r="B81" s="4">
        <v>4.0999999999999996</v>
      </c>
    </row>
    <row r="82" spans="1:2" x14ac:dyDescent="0.35">
      <c r="A82" s="3" t="s">
        <v>91</v>
      </c>
      <c r="B82" s="4"/>
    </row>
    <row r="83" spans="1:2" x14ac:dyDescent="0.35">
      <c r="A83" s="3" t="s">
        <v>38</v>
      </c>
      <c r="B83" s="4"/>
    </row>
    <row r="84" spans="1:2" x14ac:dyDescent="0.35">
      <c r="A84" s="3" t="s">
        <v>15</v>
      </c>
      <c r="B84" s="4">
        <v>4.2</v>
      </c>
    </row>
    <row r="85" spans="1:2" x14ac:dyDescent="0.35">
      <c r="A85" s="3" t="s">
        <v>82</v>
      </c>
      <c r="B85" s="4"/>
    </row>
    <row r="86" spans="1:2" x14ac:dyDescent="0.35">
      <c r="A86" s="3" t="s">
        <v>114</v>
      </c>
      <c r="B86" s="4"/>
    </row>
    <row r="87" spans="1:2" x14ac:dyDescent="0.35">
      <c r="A87" s="3" t="s">
        <v>49</v>
      </c>
      <c r="B87" s="4"/>
    </row>
    <row r="88" spans="1:2" x14ac:dyDescent="0.35">
      <c r="A88" s="3" t="s">
        <v>56</v>
      </c>
      <c r="B88" s="4">
        <v>3</v>
      </c>
    </row>
    <row r="89" spans="1:2" x14ac:dyDescent="0.35">
      <c r="A89" s="3" t="s">
        <v>78</v>
      </c>
      <c r="B89" s="4"/>
    </row>
    <row r="90" spans="1:2" x14ac:dyDescent="0.35">
      <c r="A90" s="3" t="s">
        <v>80</v>
      </c>
      <c r="B90" s="4"/>
    </row>
    <row r="91" spans="1:2" x14ac:dyDescent="0.35">
      <c r="A91" s="3" t="s">
        <v>155</v>
      </c>
      <c r="B91" s="4">
        <v>5</v>
      </c>
    </row>
    <row r="92" spans="1:2" x14ac:dyDescent="0.35">
      <c r="A92" s="3" t="s">
        <v>47</v>
      </c>
      <c r="B92" s="4"/>
    </row>
    <row r="93" spans="1:2" x14ac:dyDescent="0.35">
      <c r="A93" s="3" t="s">
        <v>48</v>
      </c>
      <c r="B93" s="4"/>
    </row>
    <row r="94" spans="1:2" x14ac:dyDescent="0.35">
      <c r="A94" s="3" t="s">
        <v>6</v>
      </c>
      <c r="B94" s="4">
        <v>4.8</v>
      </c>
    </row>
    <row r="95" spans="1:2" x14ac:dyDescent="0.35">
      <c r="A95" s="3" t="s">
        <v>4</v>
      </c>
      <c r="B95" s="4">
        <v>4.5999999999999996</v>
      </c>
    </row>
    <row r="96" spans="1:2" x14ac:dyDescent="0.35">
      <c r="A96" s="3" t="s">
        <v>89</v>
      </c>
      <c r="B96" s="4"/>
    </row>
    <row r="97" spans="1:2" x14ac:dyDescent="0.35">
      <c r="A97" s="3" t="s">
        <v>25</v>
      </c>
      <c r="B97" s="4">
        <v>3.8</v>
      </c>
    </row>
    <row r="98" spans="1:2" x14ac:dyDescent="0.35">
      <c r="A98" s="3" t="s">
        <v>84</v>
      </c>
      <c r="B98" s="4"/>
    </row>
    <row r="99" spans="1:2" x14ac:dyDescent="0.35">
      <c r="A99" s="3" t="s">
        <v>34</v>
      </c>
      <c r="B99" s="4">
        <v>4.3</v>
      </c>
    </row>
    <row r="100" spans="1:2" x14ac:dyDescent="0.35">
      <c r="A100" s="3" t="s">
        <v>85</v>
      </c>
      <c r="B100" s="4"/>
    </row>
    <row r="101" spans="1:2" x14ac:dyDescent="0.35">
      <c r="A101" s="3" t="s">
        <v>40</v>
      </c>
      <c r="B101" s="4"/>
    </row>
    <row r="102" spans="1:2" x14ac:dyDescent="0.35">
      <c r="A102" s="3" t="s">
        <v>100</v>
      </c>
      <c r="B102" s="4"/>
    </row>
    <row r="103" spans="1:2" x14ac:dyDescent="0.35">
      <c r="A103" s="3" t="s">
        <v>51</v>
      </c>
      <c r="B103" s="4"/>
    </row>
    <row r="104" spans="1:2" x14ac:dyDescent="0.35">
      <c r="A104" s="3" t="s">
        <v>101</v>
      </c>
      <c r="B104" s="4"/>
    </row>
    <row r="105" spans="1:2" x14ac:dyDescent="0.35">
      <c r="A105" s="3" t="s">
        <v>59</v>
      </c>
      <c r="B105" s="4">
        <v>2.9</v>
      </c>
    </row>
    <row r="106" spans="1:2" x14ac:dyDescent="0.35">
      <c r="A106" s="3" t="s">
        <v>83</v>
      </c>
      <c r="B106" s="4"/>
    </row>
    <row r="107" spans="1:2" x14ac:dyDescent="0.35">
      <c r="A107" s="3" t="s">
        <v>88</v>
      </c>
      <c r="B107" s="4"/>
    </row>
    <row r="108" spans="1:2" x14ac:dyDescent="0.35">
      <c r="A108" s="3" t="s">
        <v>103</v>
      </c>
      <c r="B108" s="4">
        <v>2</v>
      </c>
    </row>
    <row r="109" spans="1:2" x14ac:dyDescent="0.35">
      <c r="A109" s="3" t="s">
        <v>81</v>
      </c>
      <c r="B109" s="4"/>
    </row>
    <row r="110" spans="1:2" x14ac:dyDescent="0.35">
      <c r="A110" s="3" t="s">
        <v>65</v>
      </c>
      <c r="B110" s="4">
        <v>2.2999999999999998</v>
      </c>
    </row>
    <row r="111" spans="1:2" x14ac:dyDescent="0.35">
      <c r="A111" s="3" t="s">
        <v>5</v>
      </c>
      <c r="B111" s="4">
        <v>4.7</v>
      </c>
    </row>
    <row r="112" spans="1:2" x14ac:dyDescent="0.35">
      <c r="A112" s="3" t="s">
        <v>66</v>
      </c>
      <c r="B112" s="4">
        <v>3</v>
      </c>
    </row>
    <row r="113" spans="1:2" x14ac:dyDescent="0.35">
      <c r="A113" s="3" t="s">
        <v>128</v>
      </c>
      <c r="B113" s="4">
        <v>221.70000000000002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80B5-FB71-4FBD-876C-71768AB1E2AC}">
  <dimension ref="A3:D7"/>
  <sheetViews>
    <sheetView workbookViewId="0">
      <selection activeCell="D5" sqref="D5"/>
    </sheetView>
  </sheetViews>
  <sheetFormatPr defaultRowHeight="14.5" x14ac:dyDescent="0.35"/>
  <cols>
    <col min="1" max="1" width="15" bestFit="1" customWidth="1"/>
    <col min="2" max="2" width="14" bestFit="1" customWidth="1"/>
    <col min="3" max="3" width="15.1796875" bestFit="1" customWidth="1"/>
    <col min="4" max="4" width="15.81640625" bestFit="1" customWidth="1"/>
  </cols>
  <sheetData>
    <row r="3" spans="1:4" x14ac:dyDescent="0.35">
      <c r="A3" s="2" t="s">
        <v>159</v>
      </c>
      <c r="B3" t="s">
        <v>157</v>
      </c>
      <c r="C3" t="s">
        <v>130</v>
      </c>
      <c r="D3" t="s">
        <v>151</v>
      </c>
    </row>
    <row r="4" spans="1:4" x14ac:dyDescent="0.35">
      <c r="A4" s="3" t="s">
        <v>146</v>
      </c>
      <c r="B4" s="4">
        <v>334</v>
      </c>
      <c r="C4" s="6">
        <v>3.6133333333333324</v>
      </c>
      <c r="D4" s="4">
        <v>62</v>
      </c>
    </row>
    <row r="5" spans="1:4" x14ac:dyDescent="0.35">
      <c r="A5" s="3" t="s">
        <v>148</v>
      </c>
      <c r="B5" s="4">
        <v>38</v>
      </c>
      <c r="C5" s="6">
        <v>3.7249999999999996</v>
      </c>
      <c r="D5" s="4">
        <v>18</v>
      </c>
    </row>
    <row r="6" spans="1:4" x14ac:dyDescent="0.35">
      <c r="A6" s="3" t="s">
        <v>147</v>
      </c>
      <c r="B6" s="4">
        <v>351</v>
      </c>
      <c r="C6" s="6">
        <v>4.2782608695652167</v>
      </c>
      <c r="D6" s="4">
        <v>32</v>
      </c>
    </row>
    <row r="7" spans="1:4" x14ac:dyDescent="0.35">
      <c r="A7" s="3" t="s">
        <v>128</v>
      </c>
      <c r="B7" s="4">
        <v>723</v>
      </c>
      <c r="C7" s="6">
        <v>3.8894736842105244</v>
      </c>
      <c r="D7" s="4">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B7BD-D49D-457E-ACE3-79EAFAF20D63}">
  <dimension ref="A3:B14"/>
  <sheetViews>
    <sheetView workbookViewId="0">
      <selection activeCell="C16" sqref="C16"/>
    </sheetView>
  </sheetViews>
  <sheetFormatPr defaultRowHeight="14.5" x14ac:dyDescent="0.35"/>
  <cols>
    <col min="1" max="1" width="59.26953125" bestFit="1" customWidth="1"/>
    <col min="2" max="2" width="14" bestFit="1" customWidth="1"/>
  </cols>
  <sheetData>
    <row r="3" spans="1:2" x14ac:dyDescent="0.35">
      <c r="A3" s="2" t="s">
        <v>159</v>
      </c>
      <c r="B3" t="s">
        <v>157</v>
      </c>
    </row>
    <row r="4" spans="1:2" x14ac:dyDescent="0.35">
      <c r="A4" s="3" t="s">
        <v>12</v>
      </c>
      <c r="B4" s="4">
        <v>39</v>
      </c>
    </row>
    <row r="5" spans="1:2" x14ac:dyDescent="0.35">
      <c r="A5" s="3" t="s">
        <v>58</v>
      </c>
      <c r="B5" s="4">
        <v>69</v>
      </c>
    </row>
    <row r="6" spans="1:2" x14ac:dyDescent="0.35">
      <c r="A6" s="3" t="s">
        <v>8</v>
      </c>
      <c r="B6" s="4">
        <v>55</v>
      </c>
    </row>
    <row r="7" spans="1:2" x14ac:dyDescent="0.35">
      <c r="A7" s="3" t="s">
        <v>18</v>
      </c>
      <c r="B7" s="4">
        <v>44</v>
      </c>
    </row>
    <row r="8" spans="1:2" x14ac:dyDescent="0.35">
      <c r="A8" s="3" t="s">
        <v>27</v>
      </c>
      <c r="B8" s="4">
        <v>20</v>
      </c>
    </row>
    <row r="9" spans="1:2" x14ac:dyDescent="0.35">
      <c r="A9" s="3" t="s">
        <v>31</v>
      </c>
      <c r="B9" s="4">
        <v>32</v>
      </c>
    </row>
    <row r="10" spans="1:2" x14ac:dyDescent="0.35">
      <c r="A10" s="3" t="s">
        <v>30</v>
      </c>
      <c r="B10" s="4">
        <v>20</v>
      </c>
    </row>
    <row r="11" spans="1:2" x14ac:dyDescent="0.35">
      <c r="A11" s="3" t="s">
        <v>24</v>
      </c>
      <c r="B11" s="4">
        <v>49</v>
      </c>
    </row>
    <row r="12" spans="1:2" x14ac:dyDescent="0.35">
      <c r="A12" s="3" t="s">
        <v>4</v>
      </c>
      <c r="B12" s="4">
        <v>24</v>
      </c>
    </row>
    <row r="13" spans="1:2" x14ac:dyDescent="0.35">
      <c r="A13" s="3" t="s">
        <v>34</v>
      </c>
      <c r="B13" s="4">
        <v>36</v>
      </c>
    </row>
    <row r="14" spans="1:2" x14ac:dyDescent="0.35">
      <c r="A14" s="3" t="s">
        <v>128</v>
      </c>
      <c r="B14" s="4">
        <v>388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A1C2-7AF5-4825-BAD0-3BE33DFD1C8D}">
  <dimension ref="A3:B7"/>
  <sheetViews>
    <sheetView workbookViewId="0">
      <selection activeCell="P14" sqref="P14"/>
    </sheetView>
  </sheetViews>
  <sheetFormatPr defaultRowHeight="14.5" x14ac:dyDescent="0.35"/>
  <cols>
    <col min="1" max="1" width="15" bestFit="1" customWidth="1"/>
    <col min="2" max="2" width="15.81640625" bestFit="1" customWidth="1"/>
  </cols>
  <sheetData>
    <row r="3" spans="1:2" x14ac:dyDescent="0.35">
      <c r="A3" s="2" t="s">
        <v>159</v>
      </c>
      <c r="B3" t="s">
        <v>151</v>
      </c>
    </row>
    <row r="4" spans="1:2" x14ac:dyDescent="0.35">
      <c r="A4" s="3" t="s">
        <v>146</v>
      </c>
      <c r="B4" s="4">
        <v>62</v>
      </c>
    </row>
    <row r="5" spans="1:2" x14ac:dyDescent="0.35">
      <c r="A5" s="3" t="s">
        <v>148</v>
      </c>
      <c r="B5" s="4">
        <v>18</v>
      </c>
    </row>
    <row r="6" spans="1:2" x14ac:dyDescent="0.35">
      <c r="A6" s="3" t="s">
        <v>147</v>
      </c>
      <c r="B6" s="4">
        <v>32</v>
      </c>
    </row>
    <row r="7" spans="1:2" x14ac:dyDescent="0.35">
      <c r="A7" s="3" t="s">
        <v>128</v>
      </c>
      <c r="B7" s="4">
        <v>112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B5D7-BD11-49E8-B3C5-C185235091EA}">
  <dimension ref="A3:B8"/>
  <sheetViews>
    <sheetView workbookViewId="0">
      <selection activeCell="I19" sqref="I19"/>
    </sheetView>
  </sheetViews>
  <sheetFormatPr defaultRowHeight="14.5" x14ac:dyDescent="0.35"/>
  <cols>
    <col min="1" max="1" width="12.453125" bestFit="1" customWidth="1"/>
    <col min="2" max="2" width="15.81640625" bestFit="1" customWidth="1"/>
  </cols>
  <sheetData>
    <row r="3" spans="1:2" x14ac:dyDescent="0.35">
      <c r="A3" s="2" t="s">
        <v>159</v>
      </c>
      <c r="B3" t="s">
        <v>151</v>
      </c>
    </row>
    <row r="4" spans="1:2" x14ac:dyDescent="0.35">
      <c r="A4" s="3" t="s">
        <v>140</v>
      </c>
      <c r="B4" s="4">
        <v>22</v>
      </c>
    </row>
    <row r="5" spans="1:2" x14ac:dyDescent="0.35">
      <c r="A5" s="3" t="s">
        <v>141</v>
      </c>
      <c r="B5" s="4">
        <v>23</v>
      </c>
    </row>
    <row r="6" spans="1:2" x14ac:dyDescent="0.35">
      <c r="A6" s="3" t="s">
        <v>142</v>
      </c>
      <c r="B6" s="4">
        <v>12</v>
      </c>
    </row>
    <row r="7" spans="1:2" x14ac:dyDescent="0.35">
      <c r="A7" s="3" t="s">
        <v>158</v>
      </c>
      <c r="B7" s="4">
        <v>55</v>
      </c>
    </row>
    <row r="8" spans="1:2" x14ac:dyDescent="0.35">
      <c r="A8" s="3" t="s">
        <v>128</v>
      </c>
      <c r="B8" s="4">
        <v>112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FDF6-DA01-48A3-BD1F-DB1F16EEF38F}">
  <dimension ref="A1"/>
  <sheetViews>
    <sheetView workbookViewId="0">
      <selection activeCell="L13" sqref="L13"/>
    </sheetView>
  </sheetViews>
  <sheetFormatPr defaultRowHeight="14.5" x14ac:dyDescent="0.35"/>
  <cols>
    <col min="1" max="1" width="18.08984375" bestFit="1" customWidth="1"/>
    <col min="2" max="2" width="14.7265625" bestFit="1" customWidth="1"/>
    <col min="3" max="3" width="15.36328125" bestFit="1" customWidth="1"/>
    <col min="4" max="4" width="14.6328125" bestFit="1"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53A6-BDDE-4BEC-B946-5D3EC9A3EFBC}">
  <dimension ref="A3:B14"/>
  <sheetViews>
    <sheetView topLeftCell="A2" workbookViewId="0">
      <selection activeCell="B18" sqref="B18:B20"/>
    </sheetView>
  </sheetViews>
  <sheetFormatPr defaultRowHeight="14.5" x14ac:dyDescent="0.35"/>
  <cols>
    <col min="1" max="1" width="66.1796875" bestFit="1" customWidth="1"/>
    <col min="2" max="2" width="17.453125" bestFit="1" customWidth="1"/>
    <col min="3" max="4" width="14" bestFit="1" customWidth="1"/>
  </cols>
  <sheetData>
    <row r="3" spans="1:2" x14ac:dyDescent="0.35">
      <c r="A3" s="2" t="s">
        <v>159</v>
      </c>
      <c r="B3" t="s">
        <v>129</v>
      </c>
    </row>
    <row r="4" spans="1:2" x14ac:dyDescent="0.35">
      <c r="A4" s="3" t="s">
        <v>19</v>
      </c>
      <c r="B4" s="23">
        <v>0.53</v>
      </c>
    </row>
    <row r="5" spans="1:2" x14ac:dyDescent="0.35">
      <c r="A5" s="3" t="s">
        <v>57</v>
      </c>
      <c r="B5" s="23">
        <v>0.55000000000000004</v>
      </c>
    </row>
    <row r="6" spans="1:2" x14ac:dyDescent="0.35">
      <c r="A6" s="3" t="s">
        <v>102</v>
      </c>
      <c r="B6" s="23">
        <v>0.64</v>
      </c>
    </row>
    <row r="7" spans="1:2" x14ac:dyDescent="0.35">
      <c r="A7" s="3" t="s">
        <v>33</v>
      </c>
      <c r="B7" s="23">
        <v>0.53</v>
      </c>
    </row>
    <row r="8" spans="1:2" x14ac:dyDescent="0.35">
      <c r="A8" s="3" t="s">
        <v>45</v>
      </c>
      <c r="B8" s="23">
        <v>0.55000000000000004</v>
      </c>
    </row>
    <row r="9" spans="1:2" x14ac:dyDescent="0.35">
      <c r="A9" s="3" t="s">
        <v>28</v>
      </c>
      <c r="B9" s="23">
        <v>0.52</v>
      </c>
    </row>
    <row r="10" spans="1:2" x14ac:dyDescent="0.35">
      <c r="A10" s="3" t="s">
        <v>152</v>
      </c>
      <c r="B10" s="23">
        <v>0.52</v>
      </c>
    </row>
    <row r="11" spans="1:2" x14ac:dyDescent="0.35">
      <c r="A11" s="3" t="s">
        <v>23</v>
      </c>
      <c r="B11" s="23">
        <v>0.54</v>
      </c>
    </row>
    <row r="12" spans="1:2" x14ac:dyDescent="0.35">
      <c r="A12" s="3" t="s">
        <v>137</v>
      </c>
      <c r="B12" s="23">
        <v>0.55000000000000004</v>
      </c>
    </row>
    <row r="13" spans="1:2" x14ac:dyDescent="0.35">
      <c r="A13" s="3" t="s">
        <v>56</v>
      </c>
      <c r="B13" s="23">
        <v>0.54</v>
      </c>
    </row>
    <row r="14" spans="1:2" x14ac:dyDescent="0.35">
      <c r="A14" s="3" t="s">
        <v>128</v>
      </c>
      <c r="B14" s="23">
        <v>0.54727272727272724</v>
      </c>
    </row>
  </sheetData>
  <conditionalFormatting sqref="B1:B3 B114:B1048576">
    <cfRule type="top10" dxfId="11" priority="11" bottom="1" rank="10"/>
    <cfRule type="top10" dxfId="10" priority="12" rank="10"/>
  </conditionalFormatting>
  <conditionalFormatting sqref="C1:C3 C114:C1048576">
    <cfRule type="top10" dxfId="9" priority="9" bottom="1" rank="10"/>
    <cfRule type="top10" dxfId="8" priority="10" rank="10"/>
  </conditionalFormatting>
  <conditionalFormatting sqref="D1:D3 D114:D1048576">
    <cfRule type="top10" dxfId="7" priority="7" bottom="1" rank="10"/>
    <cfRule type="top10" dxfId="6" priority="8" rank="10"/>
  </conditionalFormatting>
  <conditionalFormatting sqref="B1:B3 B114:B1048576">
    <cfRule type="top10" dxfId="5" priority="5" bottom="1" rank="10"/>
    <cfRule type="top10" dxfId="4" priority="6" rank="10"/>
  </conditionalFormatting>
  <conditionalFormatting sqref="C1:C3 C114:C1048576">
    <cfRule type="top10" dxfId="3" priority="3" bottom="1" rank="10"/>
    <cfRule type="top10" dxfId="2" priority="4" rank="10"/>
  </conditionalFormatting>
  <conditionalFormatting sqref="D1:D3 D114:D1048576">
    <cfRule type="top10" dxfId="1" priority="1" bottom="1" rank="10"/>
    <cfRule type="top10" dxfId="0" priority="2" rank="10"/>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2</vt:i4>
      </vt:variant>
    </vt:vector>
  </HeadingPairs>
  <TitlesOfParts>
    <vt:vector size="12" baseType="lpstr">
      <vt:lpstr>Clean Dataset</vt:lpstr>
      <vt:lpstr>Dashboard</vt:lpstr>
      <vt:lpstr>Descriptive Statistics</vt:lpstr>
      <vt:lpstr>Trend Analysis</vt:lpstr>
      <vt:lpstr>Perfomance based on Discount %</vt:lpstr>
      <vt:lpstr>Top 10 Products by Reviews</vt:lpstr>
      <vt:lpstr>Products by Discount Category</vt:lpstr>
      <vt:lpstr>Products by Rating Category</vt:lpstr>
      <vt:lpstr>PT for Perfomance Comparison </vt:lpstr>
      <vt:lpstr>PT for Top &amp; Bottom 10 Products</vt:lpstr>
      <vt:lpstr>Rship of Reviews by Discount</vt:lpstr>
      <vt:lpstr>Rship of Rating by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Mainje</dc:creator>
  <cp:lastModifiedBy>Oscar Mainje</cp:lastModifiedBy>
  <dcterms:created xsi:type="dcterms:W3CDTF">2026-06-05T12:26:39Z</dcterms:created>
  <dcterms:modified xsi:type="dcterms:W3CDTF">2026-06-12T12:32:05Z</dcterms:modified>
</cp:coreProperties>
</file>